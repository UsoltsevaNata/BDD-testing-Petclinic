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firstSheet="4" activeTab="4"/>
  </bookViews>
  <sheets>
    <sheet name="Результаты Cucumber" sheetId="2" r:id="rId1"/>
    <sheet name="Результаты GherkinApprox" sheetId="3" r:id="rId2"/>
    <sheet name="Результаты Concordialang" sheetId="4" r:id="rId3"/>
    <sheet name="Количество строк" sheetId="5" r:id="rId4"/>
    <sheet name="Эксперемент по прогреву" sheetId="6" r:id="rId5"/>
  </sheets>
  <definedNames>
    <definedName name="ExternalData_1" localSheetId="0">'Результаты Cucumber'!$B$4:$R$8</definedName>
    <definedName name="ExternalData_1" localSheetId="1">'Результаты GherkinApprox'!$B$4:$R$8</definedName>
    <definedName name="ExternalData_1" localSheetId="2">'Результаты Concordialang'!$B$4:$R$8</definedName>
    <definedName name="ExternalData_2" localSheetId="0">'Результаты Cucumber'!$B$9:$Q$12</definedName>
    <definedName name="ExternalData_3" localSheetId="0">'Результаты Cucumber'!#REF!</definedName>
    <definedName name="ExternalData_2" localSheetId="1">'Результаты GherkinApprox'!#REF!</definedName>
    <definedName name="ExternalData_3" localSheetId="1">'Результаты GherkinApprox'!$B$9:$R$16</definedName>
    <definedName name="ExternalData_2" localSheetId="2">'Результаты Concordialang'!$B$9:$R$29</definedName>
    <definedName name="ExternalData_3" localSheetId="2">'Результаты Concordialang'!$B$30:$R$53</definedName>
    <definedName name="ExternalData_4" localSheetId="0">'Результаты Cucumber'!#REF!</definedName>
    <definedName name="ExternalData_5" localSheetId="0">'Результаты Cucumber'!$B$9:$R$17</definedName>
    <definedName name="ExternalData_6" localSheetId="0">'Результаты Cucumber'!$B$18:$R$37</definedName>
    <definedName name="ExternalData_4" localSheetId="1">'Результаты GherkinApprox'!$B$17:$R$35</definedName>
    <definedName name="ExternalData_1" localSheetId="4">'Эксперемент по прогреву'!$A$3:$H$29</definedName>
    <definedName name="ExternalData_2" localSheetId="4">'Эксперемент по прогреву'!$A$45:$I$71</definedName>
    <definedName name="ExternalData_3" localSheetId="4">'Эксперемент по прогреву'!$A$87:$U$113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aggregated-stats-2026-06-27T11-55-14-918Z" type="6" background="1" refreshedVersion="2" saveData="1">
    <textPr sourceFile="C:\IdeaProjects\Test-Automation-for-Swag-Labs-main\BDD_with_selenium\cucumber\aggregated-stats\aggregated-stats-2026-07-04T07-18-48-464Z.csv" comma="1">
      <textFields>
        <textField/>
      </textFields>
    </textPr>
  </connection>
  <connection id="2" name="aggregated-stats-2026-06-28T10-59-24-381Z" type="6" background="1" refreshedVersion="2" saveData="1">
    <textPr sourceFile="C:\IdeaProjects\demo\cucumber\aggregated-stats\aggregated-stats-2026-06-28T10-59-24-381Z.csv" tab="0" comma="1">
      <textFields>
        <textField/>
      </textFields>
    </textPr>
  </connection>
  <connection id="3" name="aggregated-stats-2026-07-01T07-35-52-101Z" type="6" background="1" refreshedVersion="2" saveData="1">
    <textPr sourceFile="C:\IdeaProjects\Test-Automation-for-Swag-Labs-main\BDD_with_selenium\cucumber\aggregated-stats\aggregated-stats-2026-07-01T07-35-52-101Z.csv" comma="1">
      <textFields>
        <textField/>
      </textFields>
    </textPr>
  </connection>
  <connection id="4" name="aggregated-stats-2026-07-03T11-29-17-512Z" type="6" background="1" refreshedVersion="2" saveData="1">
    <textPr sourceFile="C:\IdeaProjects\spring-petclinic-main\enhanced-gherkin-framework-main\aggregated-stats\aggregated-stats-2026-07-04T11-49-19-423Z.csv" comma="1">
      <textFields>
        <textField/>
      </textFields>
    </textPr>
  </connection>
  <connection id="5" name="aggregated-stats-2026-07-03T11-46-52-890Z" type="6" background="1" refreshedVersion="2" saveData="1">
    <textPr sourceFile="C:\IdeaProjects\demo\enhanced-gherkin-framework-main\aggregated-stats\aggregated-stats-2026-07-03T11-46-52-890Z.csv" comma="1">
      <textFields>
        <textField/>
      </textFields>
    </textPr>
  </connection>
  <connection id="6" name="aggregated-stats-2026-07-03T11-46-52-890Z1" type="6" background="1" refreshedVersion="2" saveData="1">
    <textPr sourceFile="C:\IdeaProjects\demo\enhanced-gherkin-framework-main\aggregated-stats\aggregated-stats-2026-07-04T10-25-31-753Z.csv" comma="1">
      <textFields>
        <textField/>
      </textFields>
    </textPr>
  </connection>
  <connection id="7" name="aggregated-stats-2026-07-03T13-03-33-751Z" type="6" background="1" refreshedVersion="2" saveData="1">
    <textPr sourceFile="C:\IdeaProjects\demo\cucumber\aggregated-stats\aggregated-stats-2026-07-03T13-03-33-751Z.csv" comma="1">
      <textFields>
        <textField/>
      </textFields>
    </textPr>
  </connection>
  <connection id="8" name="aggregated-stats-2026-07-03T13-03-33-751Z1" type="6" background="1" refreshedVersion="2" saveData="1">
    <textPr sourceFile="C:\IdeaProjects\demo\cucumber\aggregated-stats\aggregated-stats-2026-07-03T13-03-33-751Z.csv" comma="1">
      <textFields>
        <textField/>
      </textFields>
    </textPr>
  </connection>
  <connection id="9" name="aggregated-stats-2026-07-03T13-15-49-844Z" type="6" background="1" refreshedVersion="2" saveData="1">
    <textPr sourceFile="C:\IdeaProjects\spring-petclinic-main\cucumber-test\aggregated-stats\aggregated-stats-2026-07-03T13-15-49-844Z.csv" comma="1">
      <textFields>
        <textField/>
      </textFields>
    </textPr>
  </connection>
  <connection id="10" name="aggregated-stats-2026-07-03T13-55-03-921Z" type="6" background="1" refreshedVersion="2" saveData="1">
    <textPr sourceFile="C:\IdeaProjects\Test-Automation-for-Swag-Labs-main\BDD_with_selenium\enhanced-gherkin-framework-main\aggregated-stats\aggregated-stats-2026-07-04T08-03-57-371Z.csv" comma="1">
      <textFields>
        <textField/>
      </textFields>
    </textPr>
  </connection>
  <connection id="11" name="aggregated-stats-2026-07-03T15-12-57-904Z" type="6" background="1" refreshedVersion="2" saveData="1">
    <textPr sourceFile="C:\IdeaProjects\Test-Automation-for-Swag-Labs-main\BDD_with_selenium\concordia\aggregated-stats-concordia\aggregated-stats-2026-07-04T11-07-43-779Z.csv" comma="1">
      <textFields>
        <textField/>
      </textFields>
    </textPr>
  </connection>
  <connection id="12" name="aggregated-stats-2026-07-03T15-15-09-151Z" type="6" background="1" refreshedVersion="2" saveData="1">
    <textPr sourceFile="C:\IdeaProjects\demo\aggregated-stats-concordia\aggregated-stats-2026-07-03T15-15-09-151Z.csv" comma="1" semicolon="1">
      <textFields>
        <textField/>
      </textFields>
    </textPr>
  </connection>
  <connection id="13" name="aggregated-stats-2026-07-03T15-26-04-663Z" type="6" background="1" refreshedVersion="2" saveData="1">
    <textPr sourceFile="C:\IdeaProjects\spring-petclinic-main\aggregated-stats-concordia\aggregated-stats-2026-07-03T15-26-04-663Z.csv" comma="1">
      <textFields>
        <textField/>
      </textFields>
    </textPr>
  </connection>
  <connection id="14" name="test-durations-2026-07-05T09-06-54-705Z" type="6" background="1" refreshedVersion="2" saveData="1">
    <textPr sourceFile="C:\IdeaProjects\demo\enhanced-gherkin-framework-main\experement\test-durations-2026-07-05T09-06-54-705Z.csv" comma="1">
      <textFields>
        <textField/>
      </textFields>
    </textPr>
  </connection>
  <connection id="15" name="test-durations-2026-07-05T15-16-06-854Z" type="6" background="1" refreshedVersion="2" saveData="1">
    <textPr sourceFile="C:\IdeaProjects\demo\cucumber\experement\test-durations-2026-07-05T15-35-18-427Z.csv" comma="1">
      <textFields>
        <textField/>
      </textFields>
    </textPr>
  </connection>
  <connection id="16" name="test-durations-2026-07-05T16-06-47-053Z" type="6" background="1" refreshedVersion="2" saveData="1">
    <textPr sourceFile="C:\IdeaProjects\demo\experement\test-durations-2026-07-05T16-06-47-053Z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<sst xmlns="http://schemas.openxmlformats.org/spreadsheetml/2006/main" count="550" uniqueCount="160">
  <si>
    <t>Метрики производительности Cucumber: 1 - витрина онлайн магазина, 2 - конвертер, 3 - Petclinic</t>
  </si>
  <si>
    <t>Среднее время по уровням тестов</t>
  </si>
  <si>
    <t>№ проекта</t>
  </si>
  <si>
    <t>Название теста</t>
  </si>
  <si>
    <t>Длительность_среднее</t>
  </si>
  <si>
    <t>Длительность_дисперсия</t>
  </si>
  <si>
    <t>Длительность_ДИ_нижн</t>
  </si>
  <si>
    <t>Длительность_ДИ_верхн</t>
  </si>
  <si>
    <t>ОЗУ_среднее</t>
  </si>
  <si>
    <t>ОЗУ_дисперсия</t>
  </si>
  <si>
    <t>ОЗУ_ДИ_нижн</t>
  </si>
  <si>
    <t>ОЗУ_ДИ_верхн</t>
  </si>
  <si>
    <t>CPU_User_среднее_%</t>
  </si>
  <si>
    <t>CPU_User_дисперсия</t>
  </si>
  <si>
    <t>CPU_User_ДИ_нижн_%</t>
  </si>
  <si>
    <t>CPU_User_ДИ_верхн_%</t>
  </si>
  <si>
    <t>CPU_System_среднее_%</t>
  </si>
  <si>
    <t>CPU_System_дисперсия</t>
  </si>
  <si>
    <t>CPU_System_ДИ_нижн_%</t>
  </si>
  <si>
    <t>CPU_System_ДИ_верхн_%</t>
  </si>
  <si>
    <t>Уровень сложности</t>
  </si>
  <si>
    <t>Уровень</t>
  </si>
  <si>
    <t>Среднее по тестам</t>
  </si>
  <si>
    <t>Login with different users</t>
  </si>
  <si>
    <t>Authorized user checks total item price</t>
  </si>
  <si>
    <t>Add 10 different items to the cart</t>
  </si>
  <si>
    <t>Итогово:</t>
  </si>
  <si>
    <t>Конвертация длины</t>
  </si>
  <si>
    <t>Конвертация массы</t>
  </si>
  <si>
    <t>Конвертация температуры</t>
  </si>
  <si>
    <t>Несколько конвертаций</t>
  </si>
  <si>
    <t>Очистка истории</t>
  </si>
  <si>
    <t>Ошибка не попадает в историю</t>
  </si>
  <si>
    <t>Проверка ошибок ввода</t>
  </si>
  <si>
    <t>Результат добавляется в историю</t>
  </si>
  <si>
    <t>Add a new pet to existing owner</t>
  </si>
  <si>
    <t>Add a visit to a pet</t>
  </si>
  <si>
    <t>Add multiple visits</t>
  </si>
  <si>
    <t>Birth date in future is rejected</t>
  </si>
  <si>
    <t>Create new owner - valid</t>
  </si>
  <si>
    <t>Duplicate pet name validation</t>
  </si>
  <si>
    <t>Edit owner address successfully</t>
  </si>
  <si>
    <t>Edit pet name successfully</t>
  </si>
  <si>
    <t>Find owners – no results</t>
  </si>
  <si>
    <t>Find owners by last name – multiple results</t>
  </si>
  <si>
    <t>Find owners by last name - single result</t>
  </si>
  <si>
    <t>Non-existent owner</t>
  </si>
  <si>
    <t>Telephone validation with incorrect formats</t>
  </si>
  <si>
    <t>Telephone validation with valid format</t>
  </si>
  <si>
    <t>Trigger exception page</t>
  </si>
  <si>
    <t>Validate pet creation requires birth date</t>
  </si>
  <si>
    <t>Validate pet creation requires name</t>
  </si>
  <si>
    <t>View vets as HTML with loop</t>
  </si>
  <si>
    <t>Visit with empty description shows error</t>
  </si>
  <si>
    <t>Длительность_ДИ</t>
  </si>
  <si>
    <t>ОЗУ_ДИ</t>
  </si>
  <si>
    <t>CPU_User_ДИ</t>
  </si>
  <si>
    <t>СPU_System_ДИ</t>
  </si>
  <si>
    <t>Среднее по всем проектам</t>
  </si>
  <si>
    <t>Standard user logs in</t>
  </si>
  <si>
    <t>длительность</t>
  </si>
  <si>
    <t>Дисперсия_дл</t>
  </si>
  <si>
    <t>Add 5 different items to the cart</t>
  </si>
  <si>
    <t>ДИ_дл</t>
  </si>
  <si>
    <t xml:space="preserve"> </t>
  </si>
  <si>
    <t>ОЗУ</t>
  </si>
  <si>
    <t>ОЗУ_дл</t>
  </si>
  <si>
    <t>ДИ_ОЗУ</t>
  </si>
  <si>
    <t>CPU_User</t>
  </si>
  <si>
    <t>Дисперсия_CPU_User</t>
  </si>
  <si>
    <t>ДИ_CPU_User</t>
  </si>
  <si>
    <t>CPU_System</t>
  </si>
  <si>
    <t>ДИ_CPU_System</t>
  </si>
  <si>
    <t>Метрики производительности GherkinApprox: 1 - витрина онлайн магазина, 2 - конвертер, 3 - Petclinic</t>
  </si>
  <si>
    <t>Авторизация разных пользователей</t>
  </si>
  <si>
    <t>Проверка добавления товара и запоминание его цены при авторизации</t>
  </si>
  <si>
    <t>Массовое добавление товаров в корзину</t>
  </si>
  <si>
    <t>Килограммы в граммы</t>
  </si>
  <si>
    <t>Конвертация длины (5)</t>
  </si>
  <si>
    <t>Конвертация температуры с проверкой значений</t>
  </si>
  <si>
    <t>Проверка истории при конвертации</t>
  </si>
  <si>
    <t>Telephone validation with multiple incorrect formats</t>
  </si>
  <si>
    <t>Метрики производительности Concordialang: 1 - витрина онлайн магазина, 2 - конвертер, 3 - Petclinic</t>
  </si>
  <si>
    <t>Login with different users | standard_user_login - 1</t>
  </si>
  <si>
    <t>Authorized user checks total item price | check_two_items - 1</t>
  </si>
  <si>
    <t>Add 10 different items to the cart | add_five_items - 1</t>
  </si>
  <si>
    <t>Итогово</t>
  </si>
  <si>
    <t>Kilograms to grams | kilograms_to_grams - 1</t>
  </si>
  <si>
    <t>Meters to kilometers | meters_to_kilometers - 1</t>
  </si>
  <si>
    <t>Kilometers to meters | kilometers_to_meters - 1</t>
  </si>
  <si>
    <t>Meters to centimeters | meters_to_centimeters - 1</t>
  </si>
  <si>
    <t>Centimeters to meters | centimeters_to_meters - 1</t>
  </si>
  <si>
    <t>Meters to millimeters | meters_to_millimeters - 1</t>
  </si>
  <si>
    <t>Celsius to Fahrenheit | celsius_to_fahrenheit - 1</t>
  </si>
  <si>
    <t>Fahrenheit to Celsius | fahrenheit_to_celsius - 1</t>
  </si>
  <si>
    <t>Kelvin to Celsius | kelvin_to_celsius - 1</t>
  </si>
  <si>
    <t>Non-numeric value | alphabetic_string - 1</t>
  </si>
  <si>
    <t>Symbols | symbols - 1</t>
  </si>
  <si>
    <t>Negative mass | negative_mass - 1</t>
  </si>
  <si>
    <t>Negative length | negative_length - 1</t>
  </si>
  <si>
    <t>Negative Kelvin | negative_kelvin - 1</t>
  </si>
  <si>
    <t>Below absolute zero Celsius | below_absolute_zero_celsius - 1</t>
  </si>
  <si>
    <t>Below absolute zero Fahrenheit | below_absolute_zero_fahrenheit - 1</t>
  </si>
  <si>
    <t>Result added to history | result_added - 1</t>
  </si>
  <si>
    <t>Multiple conversions | three_conversions - 1</t>
  </si>
  <si>
    <t>Clear history | history_cleared - 1</t>
  </si>
  <si>
    <t>Error not added to history | invalid_input_skipped - 1</t>
  </si>
  <si>
    <t>Add a new pet to existing owner | add - 1</t>
  </si>
  <si>
    <t>Add a visit to a pet | add - 1</t>
  </si>
  <si>
    <t>Add multiple visits - Checkup 1 | checkup1 - 1</t>
  </si>
  <si>
    <t>Add multiple visits - Checkup 2 | checkup2 - 1</t>
  </si>
  <si>
    <t>Birth date in future is rejected | future - 1</t>
  </si>
  <si>
    <t>Create new owner with valid data | valid - 1</t>
  </si>
  <si>
    <t>Duplicate pet name validation | duplicate - 1</t>
  </si>
  <si>
    <t>Edit owner address successfully | edit - 1</t>
  </si>
  <si>
    <t>Edit pet name successfully | edit - 1</t>
  </si>
  <si>
    <t>Find owners by last name  multiple results | multiple - 1</t>
  </si>
  <si>
    <t>Find owners by last name  single result redirects | single - 1</t>
  </si>
  <si>
    <t>Find owners no results | none - 1</t>
  </si>
  <si>
    <t>Non-existent owner | non_existent - 1</t>
  </si>
  <si>
    <t>Pet creation requires birth date | missing_birth - 1</t>
  </si>
  <si>
    <t>Pet creation requires name | missing_name - 1</t>
  </si>
  <si>
    <t>Telephone validation  too long | too_long - 1</t>
  </si>
  <si>
    <t>Telephone validation alphabetic | alphabetic - 1</t>
  </si>
  <si>
    <t>Telephone validation too short | too_short - 1</t>
  </si>
  <si>
    <t>Telephone validation valid telephone | valid_telephone - 1</t>
  </si>
  <si>
    <t>Trigger exception page - oups | oups - 1</t>
  </si>
  <si>
    <t>View vets as HTML with pagination | first_page - 1</t>
  </si>
  <si>
    <t>Visit with empty description shows error | empty_desc - 1</t>
  </si>
  <si>
    <t>Visits appear on owner details page | history - 1</t>
  </si>
  <si>
    <t>Standard user logs in | standard_user_login - 1</t>
  </si>
  <si>
    <t>Add 5 different items to the cart | add_five_items - 1</t>
  </si>
  <si>
    <t xml:space="preserve">Файлы </t>
  </si>
  <si>
    <t>Витрина онлайн - магазина</t>
  </si>
  <si>
    <t>Petclinic</t>
  </si>
  <si>
    <t>Конверация</t>
  </si>
  <si>
    <t>GhApproxFeature</t>
  </si>
  <si>
    <t>GhFeature</t>
  </si>
  <si>
    <t>ConcFeature</t>
  </si>
  <si>
    <t>GhApproxDev</t>
  </si>
  <si>
    <t>GhDev</t>
  </si>
  <si>
    <t>ConcDev</t>
  </si>
  <si>
    <t>Эксперимент по прогреву  - GherkinApprox</t>
  </si>
  <si>
    <t>Прогон</t>
  </si>
  <si>
    <t xml:space="preserve">Общая </t>
  </si>
  <si>
    <t>Медиана</t>
  </si>
  <si>
    <t>Медиана без аномалий</t>
  </si>
  <si>
    <t>Отклонение мед, %</t>
  </si>
  <si>
    <t>Среднее</t>
  </si>
  <si>
    <t>Дисперсия</t>
  </si>
  <si>
    <t>Дов. интервал</t>
  </si>
  <si>
    <t>Верхняя</t>
  </si>
  <si>
    <t>Среднее без аномалий</t>
  </si>
  <si>
    <t>дисперсия без аномалий</t>
  </si>
  <si>
    <t>Отклонение ср, %</t>
  </si>
  <si>
    <t>Эксперимент по прогреву  - Cucumber</t>
  </si>
  <si>
    <t>Общая</t>
  </si>
  <si>
    <t>Эксперимент по прогреву  - Concordialang</t>
  </si>
  <si>
    <t>Сharacters | characters - 1</t>
  </si>
  <si>
    <t>Общее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</si>
</sst>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_ "/>
    <numFmt numFmtId="181" formatCode="0.000_ "/>
    <numFmt numFmtId="182" formatCode="0.00_ "/>
  </numFmts>
  <fonts count="3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8CC288"/>
      <name val="Calibri"/>
      <charset val="134"/>
      <scheme val="minor"/>
    </font>
    <font>
      <sz val="1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sz val="12"/>
      <name val="Calibri"/>
      <charset val="134"/>
      <scheme val="minor"/>
    </font>
    <font>
      <b/>
      <u/>
      <sz val="12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2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1" borderId="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2" borderId="9" applyNumberFormat="0" applyAlignment="0" applyProtection="0">
      <alignment vertical="center"/>
    </xf>
    <xf numFmtId="0" fontId="23" fillId="23" borderId="10" applyNumberFormat="0" applyAlignment="0" applyProtection="0">
      <alignment vertical="center"/>
    </xf>
    <xf numFmtId="0" fontId="24" fillId="23" borderId="9" applyNumberFormat="0" applyAlignment="0" applyProtection="0">
      <alignment vertical="center"/>
    </xf>
    <xf numFmtId="0" fontId="25" fillId="24" borderId="11" applyNumberFormat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</cellStyleXfs>
  <cellXfs count="130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80" fontId="1" fillId="3" borderId="1" xfId="0" applyNumberFormat="1" applyFont="1" applyFill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 wrapText="1"/>
    </xf>
    <xf numFmtId="180" fontId="1" fillId="3" borderId="1" xfId="0" applyNumberFormat="1" applyFont="1" applyFill="1" applyBorder="1" applyAlignment="1">
      <alignment horizontal="center" vertical="center" wrapText="1"/>
    </xf>
    <xf numFmtId="181" fontId="0" fillId="3" borderId="0" xfId="0" applyNumberFormat="1" applyFill="1" applyAlignment="1">
      <alignment horizontal="center" vertical="center"/>
    </xf>
    <xf numFmtId="181" fontId="0" fillId="4" borderId="1" xfId="0" applyNumberFormat="1" applyFill="1" applyBorder="1" applyAlignment="1">
      <alignment horizontal="center" vertical="center"/>
    </xf>
    <xf numFmtId="180" fontId="1" fillId="3" borderId="1" xfId="0" applyNumberFormat="1" applyFont="1" applyFill="1" applyBorder="1" applyAlignment="1">
      <alignment horizontal="center" vertical="center"/>
    </xf>
    <xf numFmtId="180" fontId="0" fillId="3" borderId="1" xfId="0" applyNumberFormat="1" applyFill="1" applyBorder="1" applyAlignment="1">
      <alignment horizontal="center" vertical="center"/>
    </xf>
    <xf numFmtId="180" fontId="1" fillId="4" borderId="1" xfId="0" applyNumberFormat="1" applyFont="1" applyFill="1" applyBorder="1" applyAlignment="1">
      <alignment horizontal="center" vertical="center" wrapText="1"/>
    </xf>
    <xf numFmtId="182" fontId="0" fillId="3" borderId="1" xfId="0" applyNumberFormat="1" applyFill="1" applyBorder="1" applyAlignment="1">
      <alignment horizontal="center" vertical="center" wrapText="1"/>
    </xf>
    <xf numFmtId="182" fontId="3" fillId="3" borderId="1" xfId="0" applyNumberFormat="1" applyFont="1" applyFill="1" applyBorder="1">
      <alignment vertical="center"/>
    </xf>
    <xf numFmtId="182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80" fontId="0" fillId="7" borderId="1" xfId="0" applyNumberForma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80" fontId="1" fillId="7" borderId="1" xfId="0" applyNumberFormat="1" applyFont="1" applyFill="1" applyBorder="1" applyAlignment="1">
      <alignment horizontal="center" vertical="center" wrapText="1"/>
    </xf>
    <xf numFmtId="180" fontId="1" fillId="7" borderId="1" xfId="0" applyNumberFormat="1" applyFont="1" applyFill="1" applyBorder="1" applyAlignment="1">
      <alignment horizontal="center" vertical="center" wrapText="1"/>
    </xf>
    <xf numFmtId="181" fontId="0" fillId="7" borderId="0" xfId="0" applyNumberFormat="1" applyFill="1" applyAlignment="1">
      <alignment horizontal="center" vertical="center"/>
    </xf>
    <xf numFmtId="182" fontId="0" fillId="7" borderId="1" xfId="0" applyNumberFormat="1" applyFill="1" applyBorder="1" applyAlignment="1">
      <alignment horizontal="center" vertical="center" wrapText="1"/>
    </xf>
    <xf numFmtId="182" fontId="3" fillId="7" borderId="1" xfId="0" applyNumberFormat="1" applyFont="1" applyFill="1" applyBorder="1">
      <alignment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180" fontId="0" fillId="10" borderId="1" xfId="0" applyNumberFormat="1" applyFill="1" applyBorder="1" applyAlignment="1">
      <alignment horizontal="center" vertical="center"/>
    </xf>
    <xf numFmtId="0" fontId="0" fillId="11" borderId="1" xfId="0" applyFont="1" applyFill="1" applyBorder="1">
      <alignment vertical="center"/>
    </xf>
    <xf numFmtId="0" fontId="0" fillId="1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0" xfId="0" applyNumberFormat="1" applyFont="1">
      <alignment vertical="center"/>
    </xf>
    <xf numFmtId="0" fontId="0" fillId="0" borderId="0" xfId="0" applyNumberFormat="1" applyBorder="1" applyAlignment="1">
      <alignment horizontal="center" vertical="center"/>
    </xf>
    <xf numFmtId="0" fontId="0" fillId="0" borderId="0" xfId="0" applyNumberFormat="1" applyBorder="1">
      <alignment vertical="center"/>
    </xf>
    <xf numFmtId="0" fontId="0" fillId="0" borderId="0" xfId="0" applyNumberFormat="1">
      <alignment vertical="center"/>
    </xf>
    <xf numFmtId="0" fontId="5" fillId="0" borderId="0" xfId="0" applyNumberFormat="1" applyFont="1">
      <alignment vertical="center"/>
    </xf>
    <xf numFmtId="180" fontId="0" fillId="0" borderId="0" xfId="0" applyNumberFormat="1" applyBorder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4" fillId="13" borderId="1" xfId="0" applyNumberFormat="1" applyFont="1" applyFill="1" applyBorder="1" applyAlignment="1">
      <alignment vertical="center"/>
    </xf>
    <xf numFmtId="49" fontId="4" fillId="13" borderId="1" xfId="0" applyNumberFormat="1" applyFont="1" applyFill="1" applyBorder="1" applyAlignment="1">
      <alignment horizontal="center" vertical="center"/>
    </xf>
    <xf numFmtId="49" fontId="4" fillId="13" borderId="2" xfId="0" applyNumberFormat="1" applyFont="1" applyFill="1" applyBorder="1" applyAlignment="1">
      <alignment horizontal="center" vertical="center"/>
    </xf>
    <xf numFmtId="49" fontId="4" fillId="14" borderId="1" xfId="0" applyNumberFormat="1" applyFont="1" applyFill="1" applyBorder="1">
      <alignment vertical="center"/>
    </xf>
    <xf numFmtId="49" fontId="4" fillId="14" borderId="1" xfId="0" applyNumberFormat="1" applyFont="1" applyFill="1" applyBorder="1" applyAlignment="1">
      <alignment horizontal="center" vertical="center"/>
    </xf>
    <xf numFmtId="0" fontId="4" fillId="0" borderId="0" xfId="0" applyNumberFormat="1" applyFont="1" applyBorder="1">
      <alignment vertical="center"/>
    </xf>
    <xf numFmtId="0" fontId="4" fillId="14" borderId="1" xfId="0" applyNumberFormat="1" applyFont="1" applyFill="1" applyBorder="1" applyAlignment="1">
      <alignment horizontal="center" vertical="center"/>
    </xf>
    <xf numFmtId="0" fontId="1" fillId="5" borderId="1" xfId="0" applyNumberFormat="1" applyFont="1" applyFill="1" applyBorder="1" applyAlignment="1">
      <alignment horizontal="center" vertical="center"/>
    </xf>
    <xf numFmtId="0" fontId="4" fillId="13" borderId="1" xfId="0" applyNumberFormat="1" applyFont="1" applyFill="1" applyBorder="1" applyAlignment="1">
      <alignment horizontal="center" vertical="center"/>
    </xf>
    <xf numFmtId="49" fontId="7" fillId="15" borderId="1" xfId="0" applyNumberFormat="1" applyFont="1" applyFill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/>
    </xf>
    <xf numFmtId="182" fontId="5" fillId="0" borderId="1" xfId="0" applyNumberFormat="1" applyFon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" fillId="7" borderId="1" xfId="0" applyNumberFormat="1" applyFont="1" applyFill="1" applyBorder="1" applyAlignment="1">
      <alignment horizontal="center" vertical="center"/>
    </xf>
    <xf numFmtId="49" fontId="7" fillId="16" borderId="1" xfId="0" applyNumberFormat="1" applyFont="1" applyFill="1" applyBorder="1" applyAlignment="1">
      <alignment horizontal="center" vertical="center"/>
    </xf>
    <xf numFmtId="180" fontId="5" fillId="16" borderId="1" xfId="0" applyNumberFormat="1" applyFont="1" applyFill="1" applyBorder="1" applyAlignment="1">
      <alignment horizontal="center" vertical="center"/>
    </xf>
    <xf numFmtId="182" fontId="5" fillId="16" borderId="1" xfId="0" applyNumberFormat="1" applyFont="1" applyFill="1" applyBorder="1" applyAlignment="1">
      <alignment horizontal="center" vertical="center"/>
    </xf>
    <xf numFmtId="180" fontId="0" fillId="17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4" fillId="18" borderId="0" xfId="0" applyNumberFormat="1" applyFont="1" applyFill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182" fontId="0" fillId="0" borderId="1" xfId="0" applyNumberFormat="1" applyBorder="1" applyAlignment="1">
      <alignment horizontal="center" vertical="center"/>
    </xf>
    <xf numFmtId="0" fontId="0" fillId="16" borderId="1" xfId="0" applyNumberFormat="1" applyFill="1" applyBorder="1" applyAlignment="1">
      <alignment horizontal="center" vertical="center"/>
    </xf>
    <xf numFmtId="180" fontId="0" fillId="17" borderId="1" xfId="0" applyNumberFormat="1" applyFill="1" applyBorder="1" applyAlignment="1">
      <alignment horizontal="center" vertical="center"/>
    </xf>
    <xf numFmtId="182" fontId="0" fillId="17" borderId="1" xfId="0" applyNumberFormat="1" applyFill="1" applyBorder="1" applyAlignment="1">
      <alignment horizontal="center" vertical="center"/>
    </xf>
    <xf numFmtId="180" fontId="0" fillId="16" borderId="1" xfId="0" applyNumberFormat="1" applyFill="1" applyBorder="1" applyAlignment="1">
      <alignment horizontal="center" vertical="center"/>
    </xf>
    <xf numFmtId="182" fontId="0" fillId="16" borderId="1" xfId="0" applyNumberFormat="1" applyFill="1" applyBorder="1" applyAlignment="1">
      <alignment horizontal="center" vertical="center"/>
    </xf>
    <xf numFmtId="0" fontId="0" fillId="7" borderId="1" xfId="0" applyNumberFormat="1" applyFill="1" applyBorder="1" applyAlignment="1">
      <alignment horizontal="center" vertical="center"/>
    </xf>
    <xf numFmtId="49" fontId="4" fillId="14" borderId="1" xfId="0" applyNumberFormat="1" applyFont="1" applyFill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5" borderId="1" xfId="0" applyNumberFormat="1" applyFill="1" applyBorder="1" applyAlignment="1">
      <alignment horizontal="center" vertical="center"/>
    </xf>
    <xf numFmtId="0" fontId="4" fillId="13" borderId="2" xfId="0" applyNumberFormat="1" applyFont="1" applyFill="1" applyBorder="1" applyAlignment="1">
      <alignment horizontal="center" vertical="center"/>
    </xf>
    <xf numFmtId="49" fontId="8" fillId="15" borderId="1" xfId="0" applyNumberFormat="1" applyFont="1" applyFill="1" applyBorder="1" applyAlignment="1">
      <alignment horizontal="center" vertical="center"/>
    </xf>
    <xf numFmtId="0" fontId="0" fillId="7" borderId="1" xfId="0" applyNumberFormat="1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  <xf numFmtId="0" fontId="4" fillId="13" borderId="3" xfId="0" applyNumberFormat="1" applyFont="1" applyFill="1" applyBorder="1" applyAlignment="1">
      <alignment horizontal="center" vertical="center"/>
    </xf>
    <xf numFmtId="0" fontId="4" fillId="13" borderId="4" xfId="0" applyNumberFormat="1" applyFont="1" applyFill="1" applyBorder="1" applyAlignment="1">
      <alignment horizontal="center" vertical="center"/>
    </xf>
    <xf numFmtId="49" fontId="8" fillId="16" borderId="1" xfId="0" applyNumberFormat="1" applyFont="1" applyFill="1" applyBorder="1" applyAlignment="1">
      <alignment horizontal="center" vertical="center"/>
    </xf>
    <xf numFmtId="180" fontId="0" fillId="16" borderId="2" xfId="0" applyNumberFormat="1" applyFill="1" applyBorder="1" applyAlignment="1">
      <alignment horizontal="center" vertical="center"/>
    </xf>
    <xf numFmtId="182" fontId="0" fillId="16" borderId="2" xfId="0" applyNumberFormat="1" applyFill="1" applyBorder="1" applyAlignment="1">
      <alignment horizontal="center" vertical="center"/>
    </xf>
    <xf numFmtId="49" fontId="8" fillId="15" borderId="5" xfId="0" applyNumberFormat="1" applyFont="1" applyFill="1" applyBorder="1" applyAlignment="1">
      <alignment horizontal="center" vertical="center"/>
    </xf>
    <xf numFmtId="182" fontId="0" fillId="0" borderId="1" xfId="0" applyNumberFormat="1" applyBorder="1" applyAlignment="1">
      <alignment horizontal="center" vertical="center"/>
    </xf>
    <xf numFmtId="0" fontId="4" fillId="0" borderId="4" xfId="0" applyNumberFormat="1" applyFont="1" applyFill="1" applyBorder="1" applyAlignment="1">
      <alignment horizontal="center" vertical="center"/>
    </xf>
    <xf numFmtId="49" fontId="8" fillId="19" borderId="5" xfId="0" applyNumberFormat="1" applyFont="1" applyFill="1" applyBorder="1" applyAlignment="1">
      <alignment horizontal="center" vertical="center"/>
    </xf>
    <xf numFmtId="180" fontId="0" fillId="0" borderId="1" xfId="0" applyNumberFormat="1" applyFill="1" applyBorder="1" applyAlignment="1">
      <alignment horizontal="center" vertical="center"/>
    </xf>
    <xf numFmtId="182" fontId="0" fillId="0" borderId="1" xfId="0" applyNumberFormat="1" applyFill="1" applyBorder="1" applyAlignment="1">
      <alignment horizontal="center" vertical="center"/>
    </xf>
    <xf numFmtId="182" fontId="0" fillId="0" borderId="1" xfId="0" applyNumberFormat="1" applyFill="1" applyBorder="1" applyAlignment="1">
      <alignment horizontal="center" vertical="center"/>
    </xf>
    <xf numFmtId="49" fontId="0" fillId="17" borderId="1" xfId="0" applyNumberFormat="1" applyFill="1" applyBorder="1" applyAlignment="1">
      <alignment horizontal="center" vertical="center"/>
    </xf>
    <xf numFmtId="180" fontId="0" fillId="20" borderId="1" xfId="0" applyNumberFormat="1" applyFill="1" applyBorder="1" applyAlignment="1">
      <alignment horizontal="center" vertical="center"/>
    </xf>
    <xf numFmtId="182" fontId="0" fillId="20" borderId="1" xfId="0" applyNumberForma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4" fillId="0" borderId="0" xfId="0" applyNumberFormat="1" applyFont="1" applyFill="1">
      <alignment vertical="center"/>
    </xf>
    <xf numFmtId="0" fontId="0" fillId="7" borderId="0" xfId="0" applyNumberFormat="1" applyFill="1" applyAlignment="1">
      <alignment horizontal="center" vertical="center"/>
    </xf>
    <xf numFmtId="182" fontId="4" fillId="13" borderId="1" xfId="0" applyNumberFormat="1" applyFont="1" applyFill="1" applyBorder="1" applyAlignment="1">
      <alignment horizontal="center" vertical="center"/>
    </xf>
    <xf numFmtId="182" fontId="9" fillId="13" borderId="1" xfId="0" applyNumberFormat="1" applyFont="1" applyFill="1" applyBorder="1">
      <alignment vertical="center"/>
    </xf>
    <xf numFmtId="182" fontId="4" fillId="14" borderId="1" xfId="0" applyNumberFormat="1" applyFont="1" applyFill="1" applyBorder="1">
      <alignment vertical="center"/>
    </xf>
    <xf numFmtId="182" fontId="4" fillId="14" borderId="1" xfId="0" applyNumberFormat="1" applyFont="1" applyFill="1" applyBorder="1">
      <alignment vertical="center"/>
    </xf>
    <xf numFmtId="0" fontId="0" fillId="6" borderId="1" xfId="0" applyNumberFormat="1" applyFill="1" applyBorder="1" applyAlignment="1">
      <alignment horizontal="center" vertical="center"/>
    </xf>
    <xf numFmtId="49" fontId="10" fillId="15" borderId="1" xfId="0" applyNumberFormat="1" applyFont="1" applyFill="1" applyBorder="1" applyAlignment="1">
      <alignment horizontal="center" vertical="center"/>
    </xf>
    <xf numFmtId="180" fontId="11" fillId="0" borderId="1" xfId="0" applyNumberFormat="1" applyFont="1" applyBorder="1" applyAlignment="1">
      <alignment horizontal="center" vertical="center"/>
    </xf>
    <xf numFmtId="182" fontId="11" fillId="0" borderId="1" xfId="0" applyNumberFormat="1" applyFont="1" applyBorder="1" applyAlignment="1">
      <alignment horizontal="center" vertical="center"/>
    </xf>
    <xf numFmtId="182" fontId="0" fillId="0" borderId="1" xfId="0" applyNumberFormat="1" applyFont="1" applyBorder="1" applyAlignment="1">
      <alignment horizontal="center" vertical="center"/>
    </xf>
    <xf numFmtId="182" fontId="0" fillId="0" borderId="1" xfId="0" applyNumberFormat="1" applyBorder="1">
      <alignment vertical="center"/>
    </xf>
    <xf numFmtId="49" fontId="12" fillId="16" borderId="1" xfId="0" applyNumberFormat="1" applyFont="1" applyFill="1" applyBorder="1" applyAlignment="1">
      <alignment horizontal="center" vertical="center"/>
    </xf>
    <xf numFmtId="180" fontId="10" fillId="16" borderId="1" xfId="0" applyNumberFormat="1" applyFont="1" applyFill="1" applyBorder="1" applyAlignment="1">
      <alignment horizontal="center" vertical="center"/>
    </xf>
    <xf numFmtId="182" fontId="10" fillId="16" borderId="1" xfId="0" applyNumberFormat="1" applyFont="1" applyFill="1" applyBorder="1" applyAlignment="1">
      <alignment horizontal="center" vertical="center"/>
    </xf>
    <xf numFmtId="182" fontId="13" fillId="16" borderId="1" xfId="0" applyNumberFormat="1" applyFont="1" applyFill="1" applyBorder="1" applyAlignment="1">
      <alignment horizontal="center" vertical="center"/>
    </xf>
    <xf numFmtId="182" fontId="0" fillId="17" borderId="1" xfId="0" applyNumberFormat="1" applyFill="1" applyBorder="1">
      <alignment vertical="center"/>
    </xf>
    <xf numFmtId="49" fontId="10" fillId="15" borderId="2" xfId="0" applyNumberFormat="1" applyFont="1" applyFill="1" applyBorder="1" applyAlignment="1">
      <alignment horizontal="center" vertical="center"/>
    </xf>
    <xf numFmtId="180" fontId="11" fillId="0" borderId="2" xfId="0" applyNumberFormat="1" applyFont="1" applyBorder="1" applyAlignment="1">
      <alignment horizontal="center" vertical="center"/>
    </xf>
    <xf numFmtId="182" fontId="11" fillId="0" borderId="2" xfId="0" applyNumberFormat="1" applyFont="1" applyBorder="1" applyAlignment="1">
      <alignment horizontal="center" vertical="center"/>
    </xf>
    <xf numFmtId="49" fontId="12" fillId="16" borderId="2" xfId="0" applyNumberFormat="1" applyFont="1" applyFill="1" applyBorder="1" applyAlignment="1">
      <alignment horizontal="center" vertical="center"/>
    </xf>
    <xf numFmtId="180" fontId="10" fillId="16" borderId="2" xfId="0" applyNumberFormat="1" applyFont="1" applyFill="1" applyBorder="1" applyAlignment="1">
      <alignment horizontal="center" vertical="center"/>
    </xf>
    <xf numFmtId="182" fontId="10" fillId="16" borderId="2" xfId="0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49" fontId="10" fillId="16" borderId="1" xfId="0" applyNumberFormat="1" applyFont="1" applyFill="1" applyBorder="1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21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1"/>
      </font>
      <numFmt numFmtId="0" formatCode="General"/>
      <fill>
        <patternFill patternType="solid">
          <bgColor theme="8" tint="0.4"/>
        </patternFill>
      </fill>
    </dxf>
    <dxf>
      <fill>
        <patternFill patternType="solid">
          <bgColor theme="8" tint="0.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colors>
    <mruColors>
      <color rgb="008CC28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onnections" Target="connections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'Количество строк'!$B$1</c:f>
              <c:strCache>
                <c:ptCount val="1"/>
                <c:pt idx="0">
                  <c:v>Витрина онлайн - магазина</c:v>
                </c:pt>
              </c:strCache>
            </c:strRef>
          </c:tx>
          <c:spPr>
            <a:pattFill prst="wdUpDiag">
              <a:fgClr>
                <a:schemeClr val="accent1">
                  <a:shade val="65000"/>
                </a:schemeClr>
              </a:fgClr>
              <a:bgClr>
                <a:schemeClr val="bg2"/>
              </a:bgClr>
            </a:patt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'Количество строк'!$A$2:$A$7</c:f>
              <c:strCache>
                <c:ptCount val="6"/>
                <c:pt idx="0">
                  <c:v>GhApproxFeature</c:v>
                </c:pt>
                <c:pt idx="1">
                  <c:v>GhFeature</c:v>
                </c:pt>
                <c:pt idx="2">
                  <c:v>ConcFeature</c:v>
                </c:pt>
                <c:pt idx="3">
                  <c:v>GhApproxDev</c:v>
                </c:pt>
                <c:pt idx="4">
                  <c:v>GhDev</c:v>
                </c:pt>
                <c:pt idx="5">
                  <c:v>ConcDev</c:v>
                </c:pt>
              </c:strCache>
            </c:strRef>
          </c:cat>
          <c:val>
            <c:numRef>
              <c:f>'Количество строк'!$B$2:$B$7</c:f>
              <c:numCache>
                <c:formatCode>General</c:formatCode>
                <c:ptCount val="6"/>
                <c:pt idx="0">
                  <c:v>29</c:v>
                </c:pt>
                <c:pt idx="1">
                  <c:v>63</c:v>
                </c:pt>
                <c:pt idx="2">
                  <c:v>105</c:v>
                </c:pt>
                <c:pt idx="3">
                  <c:v>85</c:v>
                </c:pt>
                <c:pt idx="4">
                  <c:v>163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'Количество строк'!$C$1</c:f>
              <c:strCache>
                <c:ptCount val="1"/>
                <c:pt idx="0">
                  <c:v>Petclinic</c:v>
                </c:pt>
              </c:strCache>
            </c:strRef>
          </c:tx>
          <c:spPr>
            <a:pattFill prst="dkVert">
              <a:fgClr>
                <a:srgbClr val="0070C0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'Количество строк'!$A$2:$A$7</c:f>
              <c:strCache>
                <c:ptCount val="6"/>
                <c:pt idx="0">
                  <c:v>GhApproxFeature</c:v>
                </c:pt>
                <c:pt idx="1">
                  <c:v>GhFeature</c:v>
                </c:pt>
                <c:pt idx="2">
                  <c:v>ConcFeature</c:v>
                </c:pt>
                <c:pt idx="3">
                  <c:v>GhApproxDev</c:v>
                </c:pt>
                <c:pt idx="4">
                  <c:v>GhDev</c:v>
                </c:pt>
                <c:pt idx="5">
                  <c:v>ConcDev</c:v>
                </c:pt>
              </c:strCache>
            </c:strRef>
          </c:cat>
          <c:val>
            <c:numRef>
              <c:f>'Количество строк'!$C$2:$C$7</c:f>
              <c:numCache>
                <c:formatCode>General</c:formatCode>
                <c:ptCount val="6"/>
                <c:pt idx="0">
                  <c:v>141</c:v>
                </c:pt>
                <c:pt idx="1">
                  <c:v>162</c:v>
                </c:pt>
                <c:pt idx="2">
                  <c:v>228</c:v>
                </c:pt>
                <c:pt idx="3">
                  <c:v>77</c:v>
                </c:pt>
                <c:pt idx="4">
                  <c:v>150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'Количество строк'!$D$1</c:f>
              <c:strCache>
                <c:ptCount val="1"/>
                <c:pt idx="0">
                  <c:v>Конверация</c:v>
                </c:pt>
              </c:strCache>
            </c:strRef>
          </c:tx>
          <c:spPr>
            <a:pattFill prst="solidDmnd">
              <a:fgClr>
                <a:schemeClr val="accent1">
                  <a:lumMod val="75000"/>
                </a:schemeClr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'Количество строк'!$A$2:$A$7</c:f>
              <c:strCache>
                <c:ptCount val="6"/>
                <c:pt idx="0">
                  <c:v>GhApproxFeature</c:v>
                </c:pt>
                <c:pt idx="1">
                  <c:v>GhFeature</c:v>
                </c:pt>
                <c:pt idx="2">
                  <c:v>ConcFeature</c:v>
                </c:pt>
                <c:pt idx="3">
                  <c:v>GhApproxDev</c:v>
                </c:pt>
                <c:pt idx="4">
                  <c:v>GhDev</c:v>
                </c:pt>
                <c:pt idx="5">
                  <c:v>ConcDev</c:v>
                </c:pt>
              </c:strCache>
            </c:strRef>
          </c:cat>
          <c:val>
            <c:numRef>
              <c:f>'Количество строк'!$D$2:$D$7</c:f>
              <c:numCache>
                <c:formatCode>General</c:formatCode>
                <c:ptCount val="6"/>
                <c:pt idx="0">
                  <c:v>63</c:v>
                </c:pt>
                <c:pt idx="1">
                  <c:v>81</c:v>
                </c:pt>
                <c:pt idx="2">
                  <c:v>192</c:v>
                </c:pt>
                <c:pt idx="3">
                  <c:v>54</c:v>
                </c:pt>
                <c:pt idx="4">
                  <c:v>101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35578629"/>
        <c:axId val="458932637"/>
      </c:barChart>
      <c:catAx>
        <c:axId val="13557862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Файлы</a:t>
                </a:r>
              </a:p>
            </c:rich>
          </c:tx>
          <c:layout>
            <c:manualLayout>
              <c:xMode val="edge"/>
              <c:yMode val="edge"/>
              <c:x val="0.482415829325206"/>
              <c:y val="0.738875858977463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8932637"/>
        <c:crosses val="autoZero"/>
        <c:auto val="1"/>
        <c:lblAlgn val="ctr"/>
        <c:lblOffset val="100"/>
        <c:noMultiLvlLbl val="0"/>
      </c:catAx>
      <c:valAx>
        <c:axId val="4589326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Строк, шт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55786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8709161589148"/>
          <c:y val="0.82371288906197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b206910-4d0e-4ef9-860b-6f9fa904255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256540</xdr:colOff>
      <xdr:row>2</xdr:row>
      <xdr:rowOff>134620</xdr:rowOff>
    </xdr:from>
    <xdr:to>
      <xdr:col>14</xdr:col>
      <xdr:colOff>6350</xdr:colOff>
      <xdr:row>17</xdr:row>
      <xdr:rowOff>67310</xdr:rowOff>
    </xdr:to>
    <xdr:graphicFrame>
      <xdr:nvGraphicFramePr>
        <xdr:cNvPr id="3" name="Диаграмма 2"/>
        <xdr:cNvGraphicFramePr/>
      </xdr:nvGraphicFramePr>
      <xdr:xfrm>
        <a:off x="5300980" y="500380"/>
        <a:ext cx="5236210" cy="2675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ExternalData_2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ExternalData_5" connectionId="8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ExternalData_6" connectionId="9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ExternalData_1" connectionId="10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ExternalData_3" connectionId="6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ExternalData_4" connectionId="4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ExternalData_1" connectionId="11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ExternalData_2" connectionId="12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name="ExternalData_3" connectionId="13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name="ExternalData_3" connectionId="16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name="ExternalData_2" connectionId="15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name="ExternalData_1" connectionId="14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queryTable" Target="../queryTables/queryTable4.xml"/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7.xml"/><Relationship Id="rId2" Type="http://schemas.openxmlformats.org/officeDocument/2006/relationships/queryTable" Target="../queryTables/queryTable6.xml"/><Relationship Id="rId1" Type="http://schemas.openxmlformats.org/officeDocument/2006/relationships/queryTable" Target="../queryTables/queryTable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0.xml"/><Relationship Id="rId2" Type="http://schemas.openxmlformats.org/officeDocument/2006/relationships/queryTable" Target="../queryTables/queryTable9.xml"/><Relationship Id="rId1" Type="http://schemas.openxmlformats.org/officeDocument/2006/relationships/queryTable" Target="../queryTables/queryTable8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3.xml"/><Relationship Id="rId2" Type="http://schemas.openxmlformats.org/officeDocument/2006/relationships/queryTable" Target="../queryTables/queryTable12.xml"/><Relationship Id="rId1" Type="http://schemas.openxmlformats.org/officeDocument/2006/relationships/queryTable" Target="../queryTables/query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3"/>
  <sheetViews>
    <sheetView zoomScale="72" zoomScaleNormal="72" workbookViewId="0">
      <selection activeCell="B23" sqref="B23"/>
    </sheetView>
  </sheetViews>
  <sheetFormatPr defaultColWidth="8.88888888888889" defaultRowHeight="14.4"/>
  <cols>
    <col min="1" max="1" width="11.9444444444444" style="44" customWidth="1"/>
    <col min="2" max="2" width="46.8888888888889" style="104" customWidth="1"/>
    <col min="3" max="3" width="23.1111111111111" style="44" customWidth="1"/>
    <col min="4" max="4" width="29.8888888888889" style="44" customWidth="1"/>
    <col min="5" max="5" width="32.6666666666667" style="44" customWidth="1"/>
    <col min="6" max="6" width="31.5555555555556" style="44" customWidth="1"/>
    <col min="7" max="7" width="31.8888888888889" style="44" customWidth="1"/>
    <col min="8" max="8" width="21.2222222222222" style="44" customWidth="1"/>
    <col min="9" max="9" width="25" style="44" customWidth="1"/>
    <col min="10" max="10" width="23.5555555555556" style="44" customWidth="1"/>
    <col min="11" max="11" width="21.2222222222222" style="44" customWidth="1"/>
    <col min="12" max="12" width="27.7777777777778" style="44" customWidth="1"/>
    <col min="13" max="13" width="27" style="44" customWidth="1"/>
    <col min="14" max="14" width="29.4444444444444" style="44" customWidth="1"/>
    <col min="15" max="15" width="29.7777777777778" style="44" customWidth="1"/>
    <col min="16" max="16" width="31" style="44" customWidth="1"/>
    <col min="17" max="17" width="29.5555555555556" style="44" customWidth="1"/>
    <col min="18" max="18" width="32.6666666666667" style="44" customWidth="1"/>
    <col min="19" max="19" width="33" style="44" customWidth="1"/>
    <col min="20" max="20" width="7.90740740740741" style="44" customWidth="1"/>
    <col min="21" max="21" width="8.88888888888889" style="44" hidden="1" customWidth="1"/>
    <col min="22" max="22" width="22.6481481481481" style="44" customWidth="1"/>
    <col min="23" max="23" width="28.8981481481481" style="44" customWidth="1"/>
    <col min="24" max="24" width="25.0555555555556" style="48" customWidth="1"/>
    <col min="25" max="25" width="22.6481481481481" customWidth="1"/>
    <col min="26" max="27" width="22.6481481481481" style="44" customWidth="1"/>
    <col min="28" max="16384" width="8.88888888888889" style="44"/>
  </cols>
  <sheetData>
    <row r="1" spans="1:27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</row>
    <row r="2" spans="1:27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</row>
    <row r="3" spans="1:27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Z3" s="106" t="s">
        <v>1</v>
      </c>
      <c r="AA3" s="106"/>
    </row>
    <row r="4" s="105" customFormat="1" ht="18" spans="1:27">
      <c r="A4" s="49" t="s">
        <v>2</v>
      </c>
      <c r="B4" s="82" t="s">
        <v>3</v>
      </c>
      <c r="C4" s="107" t="s">
        <v>4</v>
      </c>
      <c r="D4" s="107" t="s">
        <v>5</v>
      </c>
      <c r="E4" s="107" t="s">
        <v>6</v>
      </c>
      <c r="F4" s="107" t="s">
        <v>7</v>
      </c>
      <c r="G4" s="107" t="s">
        <v>8</v>
      </c>
      <c r="H4" s="107" t="s">
        <v>9</v>
      </c>
      <c r="I4" s="107" t="s">
        <v>10</v>
      </c>
      <c r="J4" s="107" t="s">
        <v>11</v>
      </c>
      <c r="K4" s="107" t="s">
        <v>12</v>
      </c>
      <c r="L4" s="107" t="s">
        <v>13</v>
      </c>
      <c r="M4" s="107" t="s">
        <v>14</v>
      </c>
      <c r="N4" s="107" t="s">
        <v>15</v>
      </c>
      <c r="O4" s="107" t="s">
        <v>16</v>
      </c>
      <c r="P4" s="108" t="s">
        <v>17</v>
      </c>
      <c r="Q4" s="109" t="s">
        <v>18</v>
      </c>
      <c r="R4" s="110" t="s">
        <v>19</v>
      </c>
      <c r="V4" s="82" t="s">
        <v>3</v>
      </c>
      <c r="W4" s="107" t="s">
        <v>4</v>
      </c>
      <c r="X4" s="55" t="s">
        <v>20</v>
      </c>
      <c r="Y4"/>
      <c r="Z4" s="84" t="s">
        <v>21</v>
      </c>
      <c r="AA4" s="111" t="s">
        <v>22</v>
      </c>
    </row>
    <row r="5" ht="15.6" spans="1:27">
      <c r="A5" s="85">
        <v>1</v>
      </c>
      <c r="B5" s="112" t="s">
        <v>23</v>
      </c>
      <c r="C5" s="113">
        <v>3142.4</v>
      </c>
      <c r="D5" s="113">
        <v>86353.9166666666</v>
      </c>
      <c r="E5" s="113">
        <v>3027.20673522003</v>
      </c>
      <c r="F5" s="113">
        <v>3257.59326477996</v>
      </c>
      <c r="G5" s="114">
        <v>75.1736587524414</v>
      </c>
      <c r="H5" s="114">
        <v>0.0209881521732313</v>
      </c>
      <c r="I5" s="114">
        <v>75.1168685823805</v>
      </c>
      <c r="J5" s="114">
        <v>75.2304489225023</v>
      </c>
      <c r="K5" s="114">
        <v>8.17375319456485</v>
      </c>
      <c r="L5" s="114">
        <v>4.82227640442864</v>
      </c>
      <c r="M5" s="114">
        <v>7.31293365400474</v>
      </c>
      <c r="N5" s="114">
        <v>9.03457273512496</v>
      </c>
      <c r="O5" s="114">
        <v>1.04769260640898</v>
      </c>
      <c r="P5" s="114">
        <v>0.575058149220748</v>
      </c>
      <c r="Q5" s="115">
        <v>0.750428859137544</v>
      </c>
      <c r="R5" s="116">
        <v>1.34495635368041</v>
      </c>
      <c r="V5" s="112" t="s">
        <v>23</v>
      </c>
      <c r="W5" s="113">
        <v>3142.4</v>
      </c>
      <c r="X5" s="62">
        <v>2</v>
      </c>
      <c r="Y5"/>
      <c r="Z5" s="87">
        <v>1</v>
      </c>
      <c r="AA5" s="75">
        <f>AVERAGEIF($X$5:$X$36,1,W5:W36)</f>
        <v>633.65</v>
      </c>
    </row>
    <row r="6" ht="15.6" spans="1:27">
      <c r="A6" s="89"/>
      <c r="B6" s="112" t="s">
        <v>24</v>
      </c>
      <c r="C6" s="113">
        <v>1464.28</v>
      </c>
      <c r="D6" s="113">
        <v>12034.5433333333</v>
      </c>
      <c r="E6" s="113">
        <v>1421.27679004105</v>
      </c>
      <c r="F6" s="113">
        <v>1507.28320995894</v>
      </c>
      <c r="G6" s="114">
        <v>89.1143017578125</v>
      </c>
      <c r="H6" s="114">
        <v>0.0200283037521876</v>
      </c>
      <c r="I6" s="114">
        <v>89.0588253730368</v>
      </c>
      <c r="J6" s="114">
        <v>89.1697781425881</v>
      </c>
      <c r="K6" s="114">
        <v>10.5303329036041</v>
      </c>
      <c r="L6" s="114">
        <v>8.0836928863934</v>
      </c>
      <c r="M6" s="114">
        <v>9.41580493908517</v>
      </c>
      <c r="N6" s="114">
        <v>11.644860868123</v>
      </c>
      <c r="O6" s="114">
        <v>0.690319200588416</v>
      </c>
      <c r="P6" s="114">
        <v>0.67356440793321</v>
      </c>
      <c r="Q6" s="115">
        <v>0.368600999081804</v>
      </c>
      <c r="R6" s="116">
        <v>1.01203740209502</v>
      </c>
      <c r="V6" s="112" t="s">
        <v>24</v>
      </c>
      <c r="W6" s="113">
        <v>1464.28</v>
      </c>
      <c r="X6" s="62">
        <v>3</v>
      </c>
      <c r="Y6"/>
      <c r="Z6" s="87">
        <v>2</v>
      </c>
      <c r="AA6" s="75">
        <f>AVERAGEIF($X$5:$X$36,2,$W$5:$W$36)</f>
        <v>828.572</v>
      </c>
    </row>
    <row r="7" ht="15.6" spans="1:27">
      <c r="A7" s="89"/>
      <c r="B7" s="112" t="s">
        <v>25</v>
      </c>
      <c r="C7" s="113">
        <v>1638.16</v>
      </c>
      <c r="D7" s="113">
        <v>41502.89</v>
      </c>
      <c r="E7" s="113">
        <v>1558.30074825694</v>
      </c>
      <c r="F7" s="113">
        <v>1718.01925174305</v>
      </c>
      <c r="G7" s="114">
        <v>89.9912908935546</v>
      </c>
      <c r="H7" s="114">
        <v>0.0196957602850549</v>
      </c>
      <c r="I7" s="114">
        <v>89.9362769925073</v>
      </c>
      <c r="J7" s="114">
        <v>90.046304794602</v>
      </c>
      <c r="K7" s="114">
        <v>9.62790284603038</v>
      </c>
      <c r="L7" s="114">
        <v>11.7884081312501</v>
      </c>
      <c r="M7" s="114">
        <v>8.28200019461743</v>
      </c>
      <c r="N7" s="114">
        <v>10.9738054974433</v>
      </c>
      <c r="O7" s="114">
        <v>0.972706735743758</v>
      </c>
      <c r="P7" s="114">
        <v>0.99971579079636</v>
      </c>
      <c r="Q7" s="115">
        <v>0.580762444706202</v>
      </c>
      <c r="R7" s="116">
        <v>1.36465102678131</v>
      </c>
      <c r="V7" s="112" t="s">
        <v>25</v>
      </c>
      <c r="W7" s="113">
        <v>1638.16</v>
      </c>
      <c r="X7" s="62">
        <v>3</v>
      </c>
      <c r="Y7"/>
      <c r="Z7" s="87">
        <v>3</v>
      </c>
      <c r="AA7" s="75">
        <f>AVERAGEIF($X$5:$X$36,3,$W$5:$W$36)</f>
        <v>1086.04285714286</v>
      </c>
    </row>
    <row r="8" ht="15.6" spans="1:27">
      <c r="A8" s="90"/>
      <c r="B8" s="117" t="s">
        <v>26</v>
      </c>
      <c r="C8" s="118">
        <v>6244.84</v>
      </c>
      <c r="D8" s="118">
        <v>180629.723333333</v>
      </c>
      <c r="E8" s="118">
        <v>6078.23782172404</v>
      </c>
      <c r="F8" s="118">
        <v>6411.44217827595</v>
      </c>
      <c r="G8" s="119">
        <v>80.7033152770996</v>
      </c>
      <c r="H8" s="119">
        <v>0.0194055463447754</v>
      </c>
      <c r="I8" s="119">
        <v>80.6487081908055</v>
      </c>
      <c r="J8" s="119">
        <v>80.7579223633936</v>
      </c>
      <c r="K8" s="119">
        <v>9.44399631473312</v>
      </c>
      <c r="L8" s="119">
        <v>3.3102851230414</v>
      </c>
      <c r="M8" s="119">
        <v>8.73078410707887</v>
      </c>
      <c r="N8" s="119">
        <v>10.1572085223873</v>
      </c>
      <c r="O8" s="119">
        <v>1.25887174834758</v>
      </c>
      <c r="P8" s="119">
        <v>0.311297209149883</v>
      </c>
      <c r="Q8" s="120">
        <v>1.0401592101912</v>
      </c>
      <c r="R8" s="121">
        <v>1.47758428650397</v>
      </c>
      <c r="V8" s="117" t="s">
        <v>26</v>
      </c>
      <c r="W8" s="118">
        <v>6244.84</v>
      </c>
      <c r="X8" s="62">
        <v>0</v>
      </c>
      <c r="Y8"/>
      <c r="Z8" s="87">
        <v>4</v>
      </c>
      <c r="AA8" s="75">
        <f>AVERAGEIF($X$5:$X$36,4,$W$5:$W$36)</f>
        <v>1470.74</v>
      </c>
    </row>
    <row r="9" ht="15.6" spans="1:27">
      <c r="A9" s="89">
        <v>2</v>
      </c>
      <c r="B9" s="112" t="s">
        <v>27</v>
      </c>
      <c r="C9" s="113">
        <v>2210.76</v>
      </c>
      <c r="D9" s="113">
        <v>33230.1066666666</v>
      </c>
      <c r="E9" s="113">
        <v>2139.3018226455</v>
      </c>
      <c r="F9" s="113">
        <v>2282.21817735449</v>
      </c>
      <c r="G9" s="114">
        <v>94.6891174316406</v>
      </c>
      <c r="H9" s="114">
        <v>12.5151025559898</v>
      </c>
      <c r="I9" s="114">
        <v>93.3023511502638</v>
      </c>
      <c r="J9" s="114">
        <v>96.0758837130174</v>
      </c>
      <c r="K9" s="114">
        <v>19.4847559814793</v>
      </c>
      <c r="L9" s="114">
        <v>57.735600375043</v>
      </c>
      <c r="M9" s="114">
        <v>16.5061853014331</v>
      </c>
      <c r="N9" s="114">
        <v>22.4633266615255</v>
      </c>
      <c r="O9" s="114">
        <v>3.83235533018164</v>
      </c>
      <c r="P9" s="114">
        <v>5.99641068527399</v>
      </c>
      <c r="Q9" s="114">
        <v>2.87244259897013</v>
      </c>
      <c r="R9" s="114">
        <v>4.79226806139315</v>
      </c>
      <c r="V9" s="112" t="s">
        <v>27</v>
      </c>
      <c r="W9" s="113">
        <v>2210.76</v>
      </c>
      <c r="X9" s="62">
        <v>3</v>
      </c>
      <c r="Y9"/>
      <c r="Z9" s="42"/>
      <c r="AA9" s="42"/>
    </row>
    <row r="10" ht="15.6" spans="1:27">
      <c r="A10" s="89"/>
      <c r="B10" s="112" t="s">
        <v>28</v>
      </c>
      <c r="C10" s="113">
        <v>1136.24</v>
      </c>
      <c r="D10" s="113">
        <v>10366.0233333333</v>
      </c>
      <c r="E10" s="113">
        <v>1096.32904148616</v>
      </c>
      <c r="F10" s="113">
        <v>1176.15095851383</v>
      </c>
      <c r="G10" s="114">
        <v>70.5569699096679</v>
      </c>
      <c r="H10" s="114">
        <v>19.9384847467089</v>
      </c>
      <c r="I10" s="114">
        <v>68.8065907164306</v>
      </c>
      <c r="J10" s="114">
        <v>72.3073491029053</v>
      </c>
      <c r="K10" s="114">
        <v>11.3826090592307</v>
      </c>
      <c r="L10" s="114">
        <v>11.8083371131695</v>
      </c>
      <c r="M10" s="114">
        <v>10.0355692253141</v>
      </c>
      <c r="N10" s="114">
        <v>12.7296488931473</v>
      </c>
      <c r="O10" s="114">
        <v>1.13290090700254</v>
      </c>
      <c r="P10" s="114">
        <v>1.98501454285392</v>
      </c>
      <c r="Q10" s="114">
        <v>0.580609973967146</v>
      </c>
      <c r="R10" s="114">
        <v>1.68519184003793</v>
      </c>
      <c r="V10" s="112" t="s">
        <v>28</v>
      </c>
      <c r="W10" s="113">
        <v>1136.24</v>
      </c>
      <c r="X10" s="62">
        <v>2</v>
      </c>
      <c r="Y10"/>
      <c r="Z10" s="42"/>
      <c r="AA10" s="42"/>
    </row>
    <row r="11" ht="15.6" spans="1:27">
      <c r="A11" s="89"/>
      <c r="B11" s="112" t="s">
        <v>29</v>
      </c>
      <c r="C11" s="113">
        <v>1324.56</v>
      </c>
      <c r="D11" s="113">
        <v>6211.25666666666</v>
      </c>
      <c r="E11" s="113">
        <v>1293.66588171792</v>
      </c>
      <c r="F11" s="113">
        <v>1355.45411828207</v>
      </c>
      <c r="G11" s="114">
        <v>86.4482397460937</v>
      </c>
      <c r="H11" s="114">
        <v>44.9299092781668</v>
      </c>
      <c r="I11" s="114">
        <v>83.8206725101661</v>
      </c>
      <c r="J11" s="114">
        <v>89.0758069820213</v>
      </c>
      <c r="K11" s="114">
        <v>14.4742853750981</v>
      </c>
      <c r="L11" s="114">
        <v>42.1397772000985</v>
      </c>
      <c r="M11" s="114">
        <v>11.9296111869797</v>
      </c>
      <c r="N11" s="114">
        <v>17.0189595632165</v>
      </c>
      <c r="O11" s="114">
        <v>2.2276914169528</v>
      </c>
      <c r="P11" s="114">
        <v>4.11062690685431</v>
      </c>
      <c r="Q11" s="114">
        <v>1.43292392075353</v>
      </c>
      <c r="R11" s="114">
        <v>3.02245891315207</v>
      </c>
      <c r="V11" s="112" t="s">
        <v>29</v>
      </c>
      <c r="W11" s="113">
        <v>1324.56</v>
      </c>
      <c r="X11" s="62">
        <v>4</v>
      </c>
      <c r="Y11"/>
      <c r="Z11" s="42"/>
      <c r="AA11" s="42"/>
    </row>
    <row r="12" ht="15.6" spans="1:27">
      <c r="A12" s="89"/>
      <c r="B12" s="122" t="s">
        <v>30</v>
      </c>
      <c r="C12" s="123">
        <v>627.92</v>
      </c>
      <c r="D12" s="123">
        <v>632.909999999999</v>
      </c>
      <c r="E12" s="123">
        <v>618.058180581657</v>
      </c>
      <c r="F12" s="123">
        <v>637.781819418342</v>
      </c>
      <c r="G12" s="124">
        <v>74.4244903564453</v>
      </c>
      <c r="H12" s="124">
        <v>186.609551380504</v>
      </c>
      <c r="I12" s="124">
        <v>69.0695701793246</v>
      </c>
      <c r="J12" s="124">
        <v>79.7794105335659</v>
      </c>
      <c r="K12" s="124">
        <v>14.2616615039849</v>
      </c>
      <c r="L12" s="124">
        <v>42.94440930965</v>
      </c>
      <c r="M12" s="124">
        <v>11.6928077299919</v>
      </c>
      <c r="N12" s="124">
        <v>16.8305152779779</v>
      </c>
      <c r="O12" s="124">
        <v>1.90222613954988</v>
      </c>
      <c r="P12" s="124">
        <v>4.72849893828675</v>
      </c>
      <c r="Q12" s="124">
        <v>1.04981775101015</v>
      </c>
      <c r="R12" s="114">
        <v>2.75463452808961</v>
      </c>
      <c r="V12" s="112" t="s">
        <v>30</v>
      </c>
      <c r="W12" s="113">
        <v>627.92</v>
      </c>
      <c r="X12" s="62">
        <v>3</v>
      </c>
      <c r="Y12"/>
      <c r="Z12" s="42"/>
      <c r="AA12" s="42"/>
    </row>
    <row r="13" ht="15.6" spans="1:27">
      <c r="A13" s="89"/>
      <c r="B13" s="112" t="s">
        <v>31</v>
      </c>
      <c r="C13" s="113">
        <v>970.68</v>
      </c>
      <c r="D13" s="113">
        <v>1369.81</v>
      </c>
      <c r="E13" s="113">
        <v>956.17170982369</v>
      </c>
      <c r="F13" s="113">
        <v>985.188290176309</v>
      </c>
      <c r="G13" s="114">
        <v>73.5686770629882</v>
      </c>
      <c r="H13" s="114">
        <v>138.566704786765</v>
      </c>
      <c r="I13" s="114">
        <v>68.9542741628988</v>
      </c>
      <c r="J13" s="114">
        <v>78.1830799630776</v>
      </c>
      <c r="K13" s="114">
        <v>6.26949485786518</v>
      </c>
      <c r="L13" s="114">
        <v>23.0144009550362</v>
      </c>
      <c r="M13" s="114">
        <v>4.38894044271131</v>
      </c>
      <c r="N13" s="114">
        <v>8.15004927301904</v>
      </c>
      <c r="O13" s="114">
        <v>0.768570356643828</v>
      </c>
      <c r="P13" s="114">
        <v>1.31041560209893</v>
      </c>
      <c r="Q13" s="114">
        <v>0.319834684916106</v>
      </c>
      <c r="R13" s="114">
        <v>1.21730602837155</v>
      </c>
      <c r="V13" s="112" t="s">
        <v>31</v>
      </c>
      <c r="W13" s="113">
        <v>970.68</v>
      </c>
      <c r="X13" s="62">
        <v>3</v>
      </c>
      <c r="Y13"/>
      <c r="Z13" s="42"/>
      <c r="AA13" s="42"/>
    </row>
    <row r="14" ht="15.6" spans="1:27">
      <c r="A14" s="89"/>
      <c r="B14" s="112" t="s">
        <v>32</v>
      </c>
      <c r="C14" s="113">
        <v>447.52</v>
      </c>
      <c r="D14" s="113">
        <v>6503.42666666666</v>
      </c>
      <c r="E14" s="113">
        <v>415.907620220763</v>
      </c>
      <c r="F14" s="113">
        <v>479.132379779236</v>
      </c>
      <c r="G14" s="114">
        <v>70.4575759887695</v>
      </c>
      <c r="H14" s="114">
        <v>85.144645515936</v>
      </c>
      <c r="I14" s="114">
        <v>66.8404408228459</v>
      </c>
      <c r="J14" s="114">
        <v>74.074711154693</v>
      </c>
      <c r="K14" s="114">
        <v>9.41828739756929</v>
      </c>
      <c r="L14" s="114">
        <v>41.1693698887824</v>
      </c>
      <c r="M14" s="114">
        <v>6.90308361763617</v>
      </c>
      <c r="N14" s="114">
        <v>11.9334911775024</v>
      </c>
      <c r="O14" s="114">
        <v>1.02885989361655</v>
      </c>
      <c r="P14" s="114">
        <v>3.99926036424406</v>
      </c>
      <c r="Q14" s="114">
        <v>0.244932381271695</v>
      </c>
      <c r="R14" s="114">
        <v>1.81278740596141</v>
      </c>
      <c r="V14" s="112" t="s">
        <v>32</v>
      </c>
      <c r="W14" s="113">
        <v>447.52</v>
      </c>
      <c r="X14" s="62">
        <v>2</v>
      </c>
      <c r="Y14"/>
      <c r="Z14" s="42"/>
      <c r="AA14" s="42"/>
    </row>
    <row r="15" ht="15.6" spans="1:27">
      <c r="A15" s="89"/>
      <c r="B15" s="112" t="s">
        <v>33</v>
      </c>
      <c r="C15" s="113">
        <v>3111.8</v>
      </c>
      <c r="D15" s="113">
        <v>36609.3333333333</v>
      </c>
      <c r="E15" s="113">
        <v>3036.79642276975</v>
      </c>
      <c r="F15" s="113">
        <v>3186.80357723024</v>
      </c>
      <c r="G15" s="114">
        <v>98.330476989746</v>
      </c>
      <c r="H15" s="114">
        <v>3.12825090781804</v>
      </c>
      <c r="I15" s="114">
        <v>97.6371519956062</v>
      </c>
      <c r="J15" s="114">
        <v>99.0238019838858</v>
      </c>
      <c r="K15" s="114">
        <v>22.8712917410108</v>
      </c>
      <c r="L15" s="114">
        <v>122.344755067789</v>
      </c>
      <c r="M15" s="114">
        <v>18.535396857283</v>
      </c>
      <c r="N15" s="114">
        <v>27.2071866247386</v>
      </c>
      <c r="O15" s="114">
        <v>4.36117495965115</v>
      </c>
      <c r="P15" s="114">
        <v>1.97917367726677</v>
      </c>
      <c r="Q15" s="114">
        <v>3.80969717773829</v>
      </c>
      <c r="R15" s="114">
        <v>4.912652741564</v>
      </c>
      <c r="V15" s="112" t="s">
        <v>33</v>
      </c>
      <c r="W15" s="113">
        <v>3111.8</v>
      </c>
      <c r="X15" s="62">
        <v>3</v>
      </c>
      <c r="Y15"/>
      <c r="Z15" s="42"/>
      <c r="AA15" s="42"/>
    </row>
    <row r="16" ht="15.6" spans="1:27">
      <c r="A16" s="89"/>
      <c r="B16" s="112" t="s">
        <v>34</v>
      </c>
      <c r="C16" s="113">
        <v>435.84</v>
      </c>
      <c r="D16" s="113">
        <v>1612.38999999999</v>
      </c>
      <c r="E16" s="113">
        <v>420.09940607982</v>
      </c>
      <c r="F16" s="113">
        <v>451.580593920179</v>
      </c>
      <c r="G16" s="114">
        <v>70.7771298217773</v>
      </c>
      <c r="H16" s="114">
        <v>128.760288635736</v>
      </c>
      <c r="I16" s="114">
        <v>66.3290042622948</v>
      </c>
      <c r="J16" s="114">
        <v>75.2252553812598</v>
      </c>
      <c r="K16" s="114">
        <v>9.94900828990006</v>
      </c>
      <c r="L16" s="114">
        <v>56.2263628956577</v>
      </c>
      <c r="M16" s="114">
        <v>7.00962607113396</v>
      </c>
      <c r="N16" s="114">
        <v>12.8883905086661</v>
      </c>
      <c r="O16" s="114">
        <v>1.74808632902146</v>
      </c>
      <c r="P16" s="114">
        <v>5.84442322406713</v>
      </c>
      <c r="Q16" s="114">
        <v>0.800416845338963</v>
      </c>
      <c r="R16" s="114">
        <v>2.69575581270395</v>
      </c>
      <c r="V16" s="112" t="s">
        <v>34</v>
      </c>
      <c r="W16" s="113">
        <v>435.84</v>
      </c>
      <c r="X16" s="62">
        <v>2</v>
      </c>
      <c r="Y16"/>
      <c r="Z16" s="42"/>
      <c r="AA16" s="42"/>
    </row>
    <row r="17" ht="15.6" spans="1:27">
      <c r="A17" s="89"/>
      <c r="B17" s="125" t="s">
        <v>26</v>
      </c>
      <c r="C17" s="126">
        <v>10265.32</v>
      </c>
      <c r="D17" s="126">
        <v>78280.1433333333</v>
      </c>
      <c r="E17" s="126">
        <v>10155.6439317573</v>
      </c>
      <c r="F17" s="126">
        <v>10374.9960682426</v>
      </c>
      <c r="G17" s="127">
        <v>81.2298713226318</v>
      </c>
      <c r="H17" s="127">
        <v>9.08264607545346</v>
      </c>
      <c r="I17" s="127">
        <v>80.0484841183086</v>
      </c>
      <c r="J17" s="127">
        <v>82.411258526955</v>
      </c>
      <c r="K17" s="127">
        <v>13.9508107363984</v>
      </c>
      <c r="L17" s="127">
        <v>5.16412967574381</v>
      </c>
      <c r="M17" s="127">
        <v>13.0600016533209</v>
      </c>
      <c r="N17" s="127">
        <v>14.841619819476</v>
      </c>
      <c r="O17" s="127">
        <v>3.74667923863374</v>
      </c>
      <c r="P17" s="127">
        <v>0.482813210117561</v>
      </c>
      <c r="Q17" s="127">
        <v>3.47429897297651</v>
      </c>
      <c r="R17" s="127">
        <v>4.01905950429097</v>
      </c>
      <c r="V17" s="117" t="s">
        <v>26</v>
      </c>
      <c r="W17" s="118">
        <v>10265.32</v>
      </c>
      <c r="X17" s="62">
        <v>0</v>
      </c>
      <c r="Y17"/>
      <c r="Z17" s="42"/>
      <c r="AA17" s="42"/>
    </row>
    <row r="18" ht="15.6" spans="1:27">
      <c r="A18" s="57">
        <v>3</v>
      </c>
      <c r="B18" s="112" t="s">
        <v>35</v>
      </c>
      <c r="C18" s="113">
        <v>567.96</v>
      </c>
      <c r="D18" s="113">
        <v>2340.95666666666</v>
      </c>
      <c r="E18" s="113">
        <v>548.993693948829</v>
      </c>
      <c r="F18" s="113">
        <v>586.92630605117</v>
      </c>
      <c r="G18" s="114">
        <v>86.3584375</v>
      </c>
      <c r="H18" s="114">
        <v>88.9652660721007</v>
      </c>
      <c r="I18" s="114">
        <v>82.6610385972978</v>
      </c>
      <c r="J18" s="114">
        <v>90.0558364027021</v>
      </c>
      <c r="K18" s="114">
        <v>12.6935926289959</v>
      </c>
      <c r="L18" s="114">
        <v>49.0846513502377</v>
      </c>
      <c r="M18" s="114">
        <v>9.94722341399903</v>
      </c>
      <c r="N18" s="114">
        <v>15.4399618439929</v>
      </c>
      <c r="O18" s="114">
        <v>0.815301929828563</v>
      </c>
      <c r="P18" s="114">
        <v>2.56079861414332</v>
      </c>
      <c r="Q18" s="114">
        <v>0.188004107224563</v>
      </c>
      <c r="R18" s="114">
        <v>1.44259975243256</v>
      </c>
      <c r="V18" s="112" t="s">
        <v>35</v>
      </c>
      <c r="W18" s="113">
        <v>567.96</v>
      </c>
      <c r="X18" s="62">
        <v>3</v>
      </c>
      <c r="Y18"/>
      <c r="Z18" s="42"/>
      <c r="AA18" s="42"/>
    </row>
    <row r="19" ht="15.6" spans="1:27">
      <c r="A19" s="57"/>
      <c r="B19" s="112" t="s">
        <v>36</v>
      </c>
      <c r="C19" s="113">
        <v>616.56</v>
      </c>
      <c r="D19" s="113">
        <v>14403.2566666666</v>
      </c>
      <c r="E19" s="113">
        <v>569.514681078489</v>
      </c>
      <c r="F19" s="113">
        <v>663.60531892151</v>
      </c>
      <c r="G19" s="114">
        <v>69.4769738769531</v>
      </c>
      <c r="H19" s="114">
        <v>21.4735235032902</v>
      </c>
      <c r="I19" s="114">
        <v>67.6604641699574</v>
      </c>
      <c r="J19" s="114">
        <v>71.2934835839488</v>
      </c>
      <c r="K19" s="114">
        <v>11.0189782979805</v>
      </c>
      <c r="L19" s="114">
        <v>47.0796522985811</v>
      </c>
      <c r="M19" s="114">
        <v>8.32928543618211</v>
      </c>
      <c r="N19" s="114">
        <v>13.7086711597788</v>
      </c>
      <c r="O19" s="114">
        <v>0.578015012103696</v>
      </c>
      <c r="P19" s="114">
        <v>1.13107553157374</v>
      </c>
      <c r="Q19" s="114">
        <v>0.161115035510092</v>
      </c>
      <c r="R19" s="114">
        <v>0.994914988697299</v>
      </c>
      <c r="V19" s="112" t="s">
        <v>36</v>
      </c>
      <c r="W19" s="113">
        <v>616.56</v>
      </c>
      <c r="X19" s="62">
        <v>3</v>
      </c>
      <c r="Y19"/>
      <c r="Z19" s="42"/>
      <c r="AA19" s="42"/>
    </row>
    <row r="20" ht="15.6" spans="1:27">
      <c r="A20" s="57"/>
      <c r="B20" s="112" t="s">
        <v>37</v>
      </c>
      <c r="C20" s="113">
        <v>993.08</v>
      </c>
      <c r="D20" s="113">
        <v>40082.5766666666</v>
      </c>
      <c r="E20" s="113">
        <v>914.599116589409</v>
      </c>
      <c r="F20" s="113">
        <v>1071.56088341059</v>
      </c>
      <c r="G20" s="114">
        <v>73.4046243286132</v>
      </c>
      <c r="H20" s="114">
        <v>79.3407640262008</v>
      </c>
      <c r="I20" s="114">
        <v>69.9129457690488</v>
      </c>
      <c r="J20" s="114">
        <v>76.8963028881777</v>
      </c>
      <c r="K20" s="114">
        <v>16.5108839038782</v>
      </c>
      <c r="L20" s="114">
        <v>56.6925681132491</v>
      </c>
      <c r="M20" s="114">
        <v>13.5593407843297</v>
      </c>
      <c r="N20" s="114">
        <v>19.4624270234268</v>
      </c>
      <c r="O20" s="114">
        <v>1.30284689506405</v>
      </c>
      <c r="P20" s="114">
        <v>2.53601371096821</v>
      </c>
      <c r="Q20" s="114">
        <v>0.678592130659153</v>
      </c>
      <c r="R20" s="114">
        <v>1.92710165946895</v>
      </c>
      <c r="V20" s="112" t="s">
        <v>37</v>
      </c>
      <c r="W20" s="113">
        <v>993.08</v>
      </c>
      <c r="X20" s="62">
        <v>3</v>
      </c>
      <c r="Y20"/>
      <c r="Z20" s="42"/>
      <c r="AA20" s="42"/>
    </row>
    <row r="21" ht="15.6" spans="1:27">
      <c r="A21" s="57"/>
      <c r="B21" s="112" t="s">
        <v>38</v>
      </c>
      <c r="C21" s="113">
        <v>569.04</v>
      </c>
      <c r="D21" s="113">
        <v>88773.2066666666</v>
      </c>
      <c r="E21" s="113">
        <v>452.244255089379</v>
      </c>
      <c r="F21" s="113">
        <v>685.83574491062</v>
      </c>
      <c r="G21" s="114">
        <v>78.2839651489257</v>
      </c>
      <c r="H21" s="114">
        <v>78.7953071360792</v>
      </c>
      <c r="I21" s="114">
        <v>74.8043096953271</v>
      </c>
      <c r="J21" s="114">
        <v>81.7636206025243</v>
      </c>
      <c r="K21" s="114">
        <v>11.590944279587</v>
      </c>
      <c r="L21" s="114">
        <v>112.27945736851</v>
      </c>
      <c r="M21" s="114">
        <v>7.43723382541782</v>
      </c>
      <c r="N21" s="114">
        <v>15.7446547337562</v>
      </c>
      <c r="O21" s="114">
        <v>0.990670545988637</v>
      </c>
      <c r="P21" s="114">
        <v>2.18435507876897</v>
      </c>
      <c r="Q21" s="114">
        <v>0.411311642696424</v>
      </c>
      <c r="R21" s="114">
        <v>1.57002944928084</v>
      </c>
      <c r="V21" s="112" t="s">
        <v>38</v>
      </c>
      <c r="W21" s="113">
        <v>569.04</v>
      </c>
      <c r="X21" s="62">
        <v>3</v>
      </c>
      <c r="Y21"/>
      <c r="Z21" s="42"/>
      <c r="AA21" s="42"/>
    </row>
    <row r="22" ht="15.6" spans="1:27">
      <c r="A22" s="57"/>
      <c r="B22" s="112" t="s">
        <v>39</v>
      </c>
      <c r="C22" s="113">
        <v>619.04</v>
      </c>
      <c r="D22" s="113">
        <v>18802.29</v>
      </c>
      <c r="E22" s="113">
        <v>565.288394530395</v>
      </c>
      <c r="F22" s="113">
        <v>672.791605469604</v>
      </c>
      <c r="G22" s="114">
        <v>74.924673461914</v>
      </c>
      <c r="H22" s="114">
        <v>10.9574313485645</v>
      </c>
      <c r="I22" s="114">
        <v>73.6270746291672</v>
      </c>
      <c r="J22" s="114">
        <v>76.2222722946608</v>
      </c>
      <c r="K22" s="114">
        <v>21.8894148553669</v>
      </c>
      <c r="L22" s="114">
        <v>79.0598004306625</v>
      </c>
      <c r="M22" s="114">
        <v>18.4039241907147</v>
      </c>
      <c r="N22" s="114">
        <v>25.374905520019</v>
      </c>
      <c r="O22" s="114">
        <v>1.70562793624054</v>
      </c>
      <c r="P22" s="114">
        <v>2.41274985105891</v>
      </c>
      <c r="Q22" s="114">
        <v>1.0967332055086</v>
      </c>
      <c r="R22" s="114">
        <v>2.31452266697247</v>
      </c>
      <c r="V22" s="112" t="s">
        <v>39</v>
      </c>
      <c r="W22" s="113">
        <v>619.04</v>
      </c>
      <c r="X22" s="62">
        <v>3</v>
      </c>
      <c r="Y22"/>
      <c r="Z22" s="42"/>
      <c r="AA22" s="42"/>
    </row>
    <row r="23" ht="15.6" spans="1:27">
      <c r="A23" s="57"/>
      <c r="B23" s="112" t="s">
        <v>40</v>
      </c>
      <c r="C23" s="113">
        <v>704.24</v>
      </c>
      <c r="D23" s="113">
        <v>1086438.19</v>
      </c>
      <c r="E23" s="113">
        <v>295.649204670296</v>
      </c>
      <c r="F23" s="113">
        <v>1112.8307953297</v>
      </c>
      <c r="G23" s="114">
        <v>76.4285873413086</v>
      </c>
      <c r="H23" s="114">
        <v>55.3088751773466</v>
      </c>
      <c r="I23" s="114">
        <v>73.5132858139787</v>
      </c>
      <c r="J23" s="114">
        <v>79.3438888686384</v>
      </c>
      <c r="K23" s="114">
        <v>7.3453425004004</v>
      </c>
      <c r="L23" s="114">
        <v>42.1218723294302</v>
      </c>
      <c r="M23" s="114">
        <v>4.80120897606847</v>
      </c>
      <c r="N23" s="114">
        <v>9.88947602473232</v>
      </c>
      <c r="O23" s="114">
        <v>0.404587813620071</v>
      </c>
      <c r="P23" s="114">
        <v>2.24043062139489</v>
      </c>
      <c r="Q23" s="114">
        <v>-0.182160455236364</v>
      </c>
      <c r="R23" s="114">
        <v>0.991336082476508</v>
      </c>
      <c r="V23" s="112" t="s">
        <v>40</v>
      </c>
      <c r="W23" s="113">
        <v>704.24</v>
      </c>
      <c r="X23" s="68">
        <v>3</v>
      </c>
      <c r="Y23"/>
      <c r="Z23" s="69"/>
      <c r="AA23" s="69"/>
    </row>
    <row r="24" ht="15.6" spans="1:27">
      <c r="A24" s="57"/>
      <c r="B24" s="112" t="s">
        <v>41</v>
      </c>
      <c r="C24" s="113">
        <v>560.48</v>
      </c>
      <c r="D24" s="113">
        <v>4408.01</v>
      </c>
      <c r="E24" s="113">
        <v>534.45400436794</v>
      </c>
      <c r="F24" s="113">
        <v>586.505995632059</v>
      </c>
      <c r="G24" s="114">
        <v>79.4123352050781</v>
      </c>
      <c r="H24" s="114">
        <v>104.328071371162</v>
      </c>
      <c r="I24" s="114">
        <v>75.4084035424272</v>
      </c>
      <c r="J24" s="114">
        <v>83.416266867729</v>
      </c>
      <c r="K24" s="114">
        <v>9.43840799171756</v>
      </c>
      <c r="L24" s="114">
        <v>19.4446873030929</v>
      </c>
      <c r="M24" s="114">
        <v>7.70983967379013</v>
      </c>
      <c r="N24" s="114">
        <v>11.166976309645</v>
      </c>
      <c r="O24" s="114">
        <v>0.9084111092413</v>
      </c>
      <c r="P24" s="114">
        <v>1.88086372771433</v>
      </c>
      <c r="Q24" s="114">
        <v>0.370804334864809</v>
      </c>
      <c r="R24" s="114">
        <v>1.44601788361779</v>
      </c>
      <c r="V24" s="112" t="s">
        <v>41</v>
      </c>
      <c r="W24" s="113">
        <v>560.48</v>
      </c>
      <c r="X24" s="68">
        <v>3</v>
      </c>
      <c r="Y24"/>
      <c r="Z24" s="69"/>
      <c r="AA24" s="69"/>
    </row>
    <row r="25" ht="15.6" spans="1:27">
      <c r="A25" s="57"/>
      <c r="B25" s="112" t="s">
        <v>42</v>
      </c>
      <c r="C25" s="113">
        <v>531.28</v>
      </c>
      <c r="D25" s="113">
        <v>2165.54333333333</v>
      </c>
      <c r="E25" s="113">
        <v>513.038123704691</v>
      </c>
      <c r="F25" s="113">
        <v>549.521876295308</v>
      </c>
      <c r="G25" s="114">
        <v>80.6862405395507</v>
      </c>
      <c r="H25" s="114">
        <v>203.370072567626</v>
      </c>
      <c r="I25" s="114">
        <v>75.0960116684729</v>
      </c>
      <c r="J25" s="114">
        <v>86.2764694106285</v>
      </c>
      <c r="K25" s="114">
        <v>8.88893545469117</v>
      </c>
      <c r="L25" s="114">
        <v>47.0926905662058</v>
      </c>
      <c r="M25" s="114">
        <v>6.19887017608445</v>
      </c>
      <c r="N25" s="114">
        <v>11.5790007332978</v>
      </c>
      <c r="O25" s="114">
        <v>0.57302245288702</v>
      </c>
      <c r="P25" s="114">
        <v>1.39707471965241</v>
      </c>
      <c r="Q25" s="114">
        <v>0.109686624658004</v>
      </c>
      <c r="R25" s="114">
        <v>1.03635828111603</v>
      </c>
      <c r="V25" s="112" t="s">
        <v>42</v>
      </c>
      <c r="W25" s="113">
        <v>531.28</v>
      </c>
      <c r="X25" s="68">
        <v>2</v>
      </c>
      <c r="Y25"/>
      <c r="Z25" s="69"/>
      <c r="AA25" s="69"/>
    </row>
    <row r="26" ht="15.6" spans="1:27">
      <c r="A26" s="57"/>
      <c r="B26" s="112" t="s">
        <v>43</v>
      </c>
      <c r="C26" s="113">
        <v>498.84</v>
      </c>
      <c r="D26" s="113">
        <v>2581.64</v>
      </c>
      <c r="E26" s="113">
        <v>478.922542105981</v>
      </c>
      <c r="F26" s="113">
        <v>518.757457894018</v>
      </c>
      <c r="G26" s="114">
        <v>85.6231661987304</v>
      </c>
      <c r="H26" s="114">
        <v>31.2403487546053</v>
      </c>
      <c r="I26" s="114">
        <v>83.4321579944948</v>
      </c>
      <c r="J26" s="114">
        <v>87.814174402966</v>
      </c>
      <c r="K26" s="114">
        <v>20.4228615845593</v>
      </c>
      <c r="L26" s="114">
        <v>250.472561690114</v>
      </c>
      <c r="M26" s="114">
        <v>14.2189422008511</v>
      </c>
      <c r="N26" s="114">
        <v>26.6267809682674</v>
      </c>
      <c r="O26" s="114">
        <v>1.55044498607805</v>
      </c>
      <c r="P26" s="114">
        <v>9.80791341003645</v>
      </c>
      <c r="Q26" s="114">
        <v>0.322795522167515</v>
      </c>
      <c r="R26" s="114">
        <v>2.77809444998859</v>
      </c>
      <c r="V26" s="112" t="s">
        <v>43</v>
      </c>
      <c r="W26" s="113">
        <v>498.84</v>
      </c>
      <c r="X26" s="68">
        <v>2</v>
      </c>
      <c r="Y26"/>
      <c r="Z26" s="69"/>
      <c r="AA26" s="69"/>
    </row>
    <row r="27" ht="15.6" spans="1:27">
      <c r="A27" s="57"/>
      <c r="B27" s="112" t="s">
        <v>44</v>
      </c>
      <c r="C27" s="113">
        <v>508.32</v>
      </c>
      <c r="D27" s="113">
        <v>2307.89333333333</v>
      </c>
      <c r="E27" s="113">
        <v>489.488108932628</v>
      </c>
      <c r="F27" s="113">
        <v>527.151891067371</v>
      </c>
      <c r="G27" s="114">
        <v>77.9765551757812</v>
      </c>
      <c r="H27" s="114">
        <v>22.8686769531849</v>
      </c>
      <c r="I27" s="114">
        <v>76.1019639202446</v>
      </c>
      <c r="J27" s="114">
        <v>79.8511464313178</v>
      </c>
      <c r="K27" s="114">
        <v>8.17259587605503</v>
      </c>
      <c r="L27" s="114">
        <v>26.4144518113194</v>
      </c>
      <c r="M27" s="114">
        <v>6.15791219787262</v>
      </c>
      <c r="N27" s="114">
        <v>10.1872795542374</v>
      </c>
      <c r="O27" s="114">
        <v>1.08466128290178</v>
      </c>
      <c r="P27" s="114">
        <v>2.19685957018542</v>
      </c>
      <c r="Q27" s="114">
        <v>0.503646456074645</v>
      </c>
      <c r="R27" s="114">
        <v>1.66567610972892</v>
      </c>
      <c r="V27" s="112" t="s">
        <v>44</v>
      </c>
      <c r="W27" s="113">
        <v>508.32</v>
      </c>
      <c r="X27" s="68">
        <v>2</v>
      </c>
      <c r="Y27"/>
      <c r="Z27" s="69"/>
      <c r="AA27" s="69"/>
    </row>
    <row r="28" ht="15.6" spans="1:27">
      <c r="A28" s="57"/>
      <c r="B28" s="112" t="s">
        <v>45</v>
      </c>
      <c r="C28" s="113">
        <v>534.96</v>
      </c>
      <c r="D28" s="113">
        <v>2116.12333333333</v>
      </c>
      <c r="E28" s="113">
        <v>516.92747450041</v>
      </c>
      <c r="F28" s="113">
        <v>552.992525499589</v>
      </c>
      <c r="G28" s="114">
        <v>82.7985754394531</v>
      </c>
      <c r="H28" s="114">
        <v>30.3335939459906</v>
      </c>
      <c r="I28" s="114">
        <v>80.6395985104155</v>
      </c>
      <c r="J28" s="114">
        <v>84.9575523684907</v>
      </c>
      <c r="K28" s="114">
        <v>11.2586086109914</v>
      </c>
      <c r="L28" s="114">
        <v>39.0761807044277</v>
      </c>
      <c r="M28" s="114">
        <v>8.80817962165813</v>
      </c>
      <c r="N28" s="114">
        <v>13.7090376003248</v>
      </c>
      <c r="O28" s="114">
        <v>0.958917526357715</v>
      </c>
      <c r="P28" s="114">
        <v>3.48205503614448</v>
      </c>
      <c r="Q28" s="114">
        <v>0.227435123921329</v>
      </c>
      <c r="R28" s="114">
        <v>1.6903999287941</v>
      </c>
      <c r="V28" s="112" t="s">
        <v>45</v>
      </c>
      <c r="W28" s="113">
        <v>534.96</v>
      </c>
      <c r="X28" s="68">
        <v>2</v>
      </c>
      <c r="Y28"/>
      <c r="Z28" s="69"/>
      <c r="AA28" s="69"/>
    </row>
    <row r="29" ht="15.6" spans="1:27">
      <c r="A29" s="57"/>
      <c r="B29" s="112" t="s">
        <v>46</v>
      </c>
      <c r="C29" s="113">
        <v>651.56</v>
      </c>
      <c r="D29" s="113">
        <v>1058500.09</v>
      </c>
      <c r="E29" s="113">
        <v>248.256940465659</v>
      </c>
      <c r="F29" s="113">
        <v>1054.86305953434</v>
      </c>
      <c r="G29" s="114">
        <v>68.0843292236328</v>
      </c>
      <c r="H29" s="114">
        <v>24.7349758763157</v>
      </c>
      <c r="I29" s="114">
        <v>66.1347458494068</v>
      </c>
      <c r="J29" s="114">
        <v>70.0339125978587</v>
      </c>
      <c r="K29" s="114">
        <v>8.54962291618777</v>
      </c>
      <c r="L29" s="114">
        <v>20.5256772998316</v>
      </c>
      <c r="M29" s="114">
        <v>6.77365622826782</v>
      </c>
      <c r="N29" s="114">
        <v>10.3255896041077</v>
      </c>
      <c r="O29" s="114">
        <v>0.794051648333409</v>
      </c>
      <c r="P29" s="114">
        <v>3.94474827308938</v>
      </c>
      <c r="Q29" s="114">
        <v>0.0154851459484126</v>
      </c>
      <c r="R29" s="114">
        <v>1.5726181507184</v>
      </c>
      <c r="V29" s="112" t="s">
        <v>46</v>
      </c>
      <c r="W29" s="113">
        <v>651.56</v>
      </c>
      <c r="X29" s="68">
        <v>1</v>
      </c>
      <c r="Y29"/>
      <c r="Z29" s="69"/>
      <c r="AA29" s="69"/>
    </row>
    <row r="30" ht="15.6" spans="1:27">
      <c r="A30" s="57"/>
      <c r="B30" s="112" t="s">
        <v>47</v>
      </c>
      <c r="C30" s="113">
        <v>1616.92</v>
      </c>
      <c r="D30" s="113">
        <v>10841.5766666666</v>
      </c>
      <c r="E30" s="113">
        <v>1576.10382628287</v>
      </c>
      <c r="F30" s="113">
        <v>1657.73617371712</v>
      </c>
      <c r="G30" s="114">
        <v>86.8572564697265</v>
      </c>
      <c r="H30" s="114">
        <v>33.13665138181</v>
      </c>
      <c r="I30" s="114">
        <v>84.6007302904114</v>
      </c>
      <c r="J30" s="114">
        <v>89.1137826490416</v>
      </c>
      <c r="K30" s="114">
        <v>13.7902283135312</v>
      </c>
      <c r="L30" s="114">
        <v>41.9888277297524</v>
      </c>
      <c r="M30" s="114">
        <v>11.2501158702987</v>
      </c>
      <c r="N30" s="114">
        <v>16.3303407567637</v>
      </c>
      <c r="O30" s="114">
        <v>2.37538429593314</v>
      </c>
      <c r="P30" s="114">
        <v>5.11908282139143</v>
      </c>
      <c r="Q30" s="114">
        <v>1.48846899971467</v>
      </c>
      <c r="R30" s="114">
        <v>3.2622995921516</v>
      </c>
      <c r="V30" s="112" t="s">
        <v>47</v>
      </c>
      <c r="W30" s="113">
        <v>1616.92</v>
      </c>
      <c r="X30" s="68">
        <v>4</v>
      </c>
      <c r="Y30"/>
      <c r="Z30" s="69"/>
      <c r="AA30" s="69"/>
    </row>
    <row r="31" ht="15.6" spans="1:27">
      <c r="A31" s="57"/>
      <c r="B31" s="112" t="s">
        <v>48</v>
      </c>
      <c r="C31" s="113">
        <v>550.6</v>
      </c>
      <c r="D31" s="113">
        <v>5621.75</v>
      </c>
      <c r="E31" s="113">
        <v>521.208494560502</v>
      </c>
      <c r="F31" s="113">
        <v>579.991505439497</v>
      </c>
      <c r="G31" s="114">
        <v>87.9695687866211</v>
      </c>
      <c r="H31" s="114">
        <v>71.5177542507479</v>
      </c>
      <c r="I31" s="114">
        <v>84.6544965115135</v>
      </c>
      <c r="J31" s="114">
        <v>91.2846410617286</v>
      </c>
      <c r="K31" s="114">
        <v>9.90897937665298</v>
      </c>
      <c r="L31" s="114">
        <v>24.9014925088793</v>
      </c>
      <c r="M31" s="114">
        <v>7.95284468167811</v>
      </c>
      <c r="N31" s="114">
        <v>11.8651140716278</v>
      </c>
      <c r="O31" s="114">
        <v>0.897258161418225</v>
      </c>
      <c r="P31" s="114">
        <v>2.48500024971771</v>
      </c>
      <c r="Q31" s="114">
        <v>0.279313925768582</v>
      </c>
      <c r="R31" s="114">
        <v>1.51520239706786</v>
      </c>
      <c r="V31" s="112" t="s">
        <v>48</v>
      </c>
      <c r="W31" s="113">
        <v>550.6</v>
      </c>
      <c r="X31" s="68">
        <v>3</v>
      </c>
      <c r="Y31"/>
      <c r="Z31" s="69"/>
      <c r="AA31" s="69"/>
    </row>
    <row r="32" ht="15.6" spans="1:27">
      <c r="A32" s="57"/>
      <c r="B32" s="112" t="s">
        <v>49</v>
      </c>
      <c r="C32" s="113">
        <v>938.72</v>
      </c>
      <c r="D32" s="113">
        <v>52070.0433333333</v>
      </c>
      <c r="E32" s="113">
        <v>849.27006350604</v>
      </c>
      <c r="F32" s="113">
        <v>1028.16993649395</v>
      </c>
      <c r="G32" s="114">
        <v>73.0196438598632</v>
      </c>
      <c r="H32" s="114">
        <v>55.9143064251804</v>
      </c>
      <c r="I32" s="114">
        <v>70.0884297799095</v>
      </c>
      <c r="J32" s="114">
        <v>75.950857939817</v>
      </c>
      <c r="K32" s="114">
        <v>7.1704789784965</v>
      </c>
      <c r="L32" s="114">
        <v>12.3815003101386</v>
      </c>
      <c r="M32" s="114">
        <v>5.79113461842641</v>
      </c>
      <c r="N32" s="114">
        <v>8.54982333856658</v>
      </c>
      <c r="O32" s="114">
        <v>0.409292472469819</v>
      </c>
      <c r="P32" s="114">
        <v>0.591913835678086</v>
      </c>
      <c r="Q32" s="114">
        <v>0.107703600583542</v>
      </c>
      <c r="R32" s="114">
        <v>0.710881344356097</v>
      </c>
      <c r="V32" s="112" t="s">
        <v>49</v>
      </c>
      <c r="W32" s="113">
        <v>938.72</v>
      </c>
      <c r="X32" s="68">
        <v>1</v>
      </c>
      <c r="Y32"/>
      <c r="Z32" s="69"/>
      <c r="AA32" s="69"/>
    </row>
    <row r="33" ht="15.6" spans="1:27">
      <c r="A33" s="57"/>
      <c r="B33" s="112" t="s">
        <v>50</v>
      </c>
      <c r="C33" s="113">
        <v>514.6</v>
      </c>
      <c r="D33" s="113">
        <v>1667.33333333333</v>
      </c>
      <c r="E33" s="113">
        <v>498.593466667222</v>
      </c>
      <c r="F33" s="113">
        <v>530.606533332778</v>
      </c>
      <c r="G33" s="114">
        <v>78.2381384277343</v>
      </c>
      <c r="H33" s="114">
        <v>152.024695927226</v>
      </c>
      <c r="I33" s="114">
        <v>73.4048452569282</v>
      </c>
      <c r="J33" s="114">
        <v>83.0714315985405</v>
      </c>
      <c r="K33" s="114">
        <v>5.72834647887076</v>
      </c>
      <c r="L33" s="114">
        <v>8.51303575247834</v>
      </c>
      <c r="M33" s="114">
        <v>4.58460388288649</v>
      </c>
      <c r="N33" s="114">
        <v>6.87208907485502</v>
      </c>
      <c r="O33" s="114">
        <v>0.491812470298688</v>
      </c>
      <c r="P33" s="114">
        <v>1.32788997111314</v>
      </c>
      <c r="Q33" s="114">
        <v>0.0400947658403289</v>
      </c>
      <c r="R33" s="114">
        <v>0.943530174757048</v>
      </c>
      <c r="V33" s="112" t="s">
        <v>50</v>
      </c>
      <c r="W33" s="113">
        <v>514.6</v>
      </c>
      <c r="X33" s="68">
        <v>2</v>
      </c>
      <c r="Y33"/>
      <c r="Z33" s="69"/>
      <c r="AA33" s="69"/>
    </row>
    <row r="34" ht="15.6" spans="1:27">
      <c r="A34" s="57"/>
      <c r="B34" s="112" t="s">
        <v>51</v>
      </c>
      <c r="C34" s="113">
        <v>535.72</v>
      </c>
      <c r="D34" s="113">
        <v>16329.5433333333</v>
      </c>
      <c r="E34" s="113">
        <v>485.62745617586</v>
      </c>
      <c r="F34" s="113">
        <v>585.812543824139</v>
      </c>
      <c r="G34" s="114">
        <v>75.2015789794921</v>
      </c>
      <c r="H34" s="114">
        <v>106.328516539069</v>
      </c>
      <c r="I34" s="114">
        <v>71.1594427663668</v>
      </c>
      <c r="J34" s="114">
        <v>79.2437151926175</v>
      </c>
      <c r="K34" s="114">
        <v>11.6877267486115</v>
      </c>
      <c r="L34" s="114">
        <v>127.825870465557</v>
      </c>
      <c r="M34" s="114">
        <v>7.25577068393538</v>
      </c>
      <c r="N34" s="114">
        <v>16.1196828132876</v>
      </c>
      <c r="O34" s="114">
        <v>0.385923733714324</v>
      </c>
      <c r="P34" s="114">
        <v>1.96587924985742</v>
      </c>
      <c r="Q34" s="114">
        <v>-0.163698744947248</v>
      </c>
      <c r="R34" s="114">
        <v>0.935546212375897</v>
      </c>
      <c r="V34" s="112" t="s">
        <v>51</v>
      </c>
      <c r="W34" s="113">
        <v>535.72</v>
      </c>
      <c r="X34" s="70">
        <v>2</v>
      </c>
      <c r="Y34"/>
      <c r="Z34" s="71"/>
      <c r="AA34" s="71"/>
    </row>
    <row r="35" ht="15.6" spans="1:27">
      <c r="A35" s="57"/>
      <c r="B35" s="112" t="s">
        <v>52</v>
      </c>
      <c r="C35" s="113">
        <v>429.92</v>
      </c>
      <c r="D35" s="113">
        <v>3595.07666666666</v>
      </c>
      <c r="E35" s="113">
        <v>406.416088391362</v>
      </c>
      <c r="F35" s="113">
        <v>453.423911608638</v>
      </c>
      <c r="G35" s="114">
        <v>77.4480792236328</v>
      </c>
      <c r="H35" s="114">
        <v>216.740911571871</v>
      </c>
      <c r="I35" s="114">
        <v>71.6770069284887</v>
      </c>
      <c r="J35" s="114">
        <v>83.2191515187769</v>
      </c>
      <c r="K35" s="114">
        <v>8.24901437265212</v>
      </c>
      <c r="L35" s="114">
        <v>59.2446337726311</v>
      </c>
      <c r="M35" s="114">
        <v>5.23176937033003</v>
      </c>
      <c r="N35" s="114">
        <v>11.2662593749742</v>
      </c>
      <c r="O35" s="114">
        <v>0.62620447741544</v>
      </c>
      <c r="P35" s="114">
        <v>2.15548299550864</v>
      </c>
      <c r="Q35" s="114">
        <v>0.050687197899142</v>
      </c>
      <c r="R35" s="114">
        <v>1.20172175693173</v>
      </c>
      <c r="V35" s="112" t="s">
        <v>52</v>
      </c>
      <c r="W35" s="113">
        <v>429.92</v>
      </c>
      <c r="X35" s="68">
        <v>1</v>
      </c>
      <c r="Y35"/>
      <c r="Z35" s="69"/>
      <c r="AA35" s="69"/>
    </row>
    <row r="36" ht="15.6" spans="1:27">
      <c r="A36" s="57"/>
      <c r="B36" s="112" t="s">
        <v>53</v>
      </c>
      <c r="C36" s="113">
        <v>514.4</v>
      </c>
      <c r="D36" s="113">
        <v>6196.08333333333</v>
      </c>
      <c r="E36" s="113">
        <v>483.543640050496</v>
      </c>
      <c r="F36" s="113">
        <v>545.256359949503</v>
      </c>
      <c r="G36" s="114">
        <v>71.3391751098632</v>
      </c>
      <c r="H36" s="114">
        <v>39.1605469916291</v>
      </c>
      <c r="I36" s="114">
        <v>68.8861022831983</v>
      </c>
      <c r="J36" s="114">
        <v>73.7922479365281</v>
      </c>
      <c r="K36" s="114">
        <v>5.20305653166609</v>
      </c>
      <c r="L36" s="114">
        <v>12.750065369666</v>
      </c>
      <c r="M36" s="114">
        <v>3.80333297147131</v>
      </c>
      <c r="N36" s="114">
        <v>6.60278009186088</v>
      </c>
      <c r="O36" s="114">
        <v>0.751376886178259</v>
      </c>
      <c r="P36" s="114">
        <v>2.79616658914532</v>
      </c>
      <c r="Q36" s="114">
        <v>0.0958845957930657</v>
      </c>
      <c r="R36" s="114">
        <v>1.40686917656345</v>
      </c>
      <c r="V36" s="112" t="s">
        <v>53</v>
      </c>
      <c r="W36" s="113">
        <v>514.4</v>
      </c>
      <c r="X36" s="128">
        <v>1</v>
      </c>
    </row>
    <row r="37" ht="15.6" spans="1:27">
      <c r="A37" s="57"/>
      <c r="B37" s="129" t="s">
        <v>26</v>
      </c>
      <c r="C37" s="118">
        <v>12456.24</v>
      </c>
      <c r="D37" s="118">
        <v>2925610.77333333</v>
      </c>
      <c r="E37" s="118">
        <v>11785.7468576983</v>
      </c>
      <c r="F37" s="118">
        <v>13126.7331423016</v>
      </c>
      <c r="G37" s="119">
        <v>78.0765545073009</v>
      </c>
      <c r="H37" s="119">
        <v>18.8257979407263</v>
      </c>
      <c r="I37" s="119">
        <v>76.3757172385524</v>
      </c>
      <c r="J37" s="119">
        <v>79.7773917760494</v>
      </c>
      <c r="K37" s="119">
        <v>11.5113513441565</v>
      </c>
      <c r="L37" s="119">
        <v>1.92939884185417</v>
      </c>
      <c r="M37" s="119">
        <v>10.9668523601036</v>
      </c>
      <c r="N37" s="119">
        <v>12.0558503282094</v>
      </c>
      <c r="O37" s="119">
        <v>3.16656200796756</v>
      </c>
      <c r="P37" s="119">
        <v>0.827428784839071</v>
      </c>
      <c r="Q37" s="119">
        <v>2.80998660669384</v>
      </c>
      <c r="R37" s="119">
        <v>3.52313740924127</v>
      </c>
      <c r="V37" s="129" t="s">
        <v>26</v>
      </c>
      <c r="W37" s="118">
        <v>12456.24</v>
      </c>
      <c r="X37" s="128"/>
    </row>
    <row r="40" ht="18" spans="1:27">
      <c r="A40" s="49" t="s">
        <v>2</v>
      </c>
      <c r="B40" s="82" t="s">
        <v>3</v>
      </c>
      <c r="C40" s="55" t="s">
        <v>54</v>
      </c>
      <c r="D40" s="55" t="s">
        <v>55</v>
      </c>
      <c r="E40" s="55" t="s">
        <v>56</v>
      </c>
      <c r="F40" s="55" t="s">
        <v>57</v>
      </c>
      <c r="J40" s="73" t="s">
        <v>58</v>
      </c>
      <c r="K40" s="73"/>
    </row>
    <row r="41" ht="15.6" spans="1:27">
      <c r="A41" s="85">
        <v>1</v>
      </c>
      <c r="B41" s="112" t="s">
        <v>59</v>
      </c>
      <c r="C41" s="74">
        <f>C5-E5</f>
        <v>115.19326477997</v>
      </c>
      <c r="D41" s="75">
        <f>G5-I5</f>
        <v>0.0567901700608928</v>
      </c>
      <c r="E41" s="75">
        <f>K5-M5</f>
        <v>0.860819540560109</v>
      </c>
      <c r="F41" s="75">
        <f>O5-Q5</f>
        <v>0.297263747271436</v>
      </c>
      <c r="J41" s="76" t="s">
        <v>60</v>
      </c>
      <c r="K41" s="74">
        <f>AVERAGE(C8,C17,C37)</f>
        <v>9655.46666666667</v>
      </c>
    </row>
    <row r="42" ht="15.6" spans="1:27">
      <c r="A42" s="89"/>
      <c r="B42" s="112" t="s">
        <v>24</v>
      </c>
      <c r="C42" s="74">
        <f>C6-E6</f>
        <v>43.00320995895</v>
      </c>
      <c r="D42" s="75">
        <f>G6-I6</f>
        <v>0.0554763847757016</v>
      </c>
      <c r="E42" s="75">
        <f>K6-M6</f>
        <v>1.11452796451893</v>
      </c>
      <c r="F42" s="75">
        <f>O6-Q6</f>
        <v>0.321718201506612</v>
      </c>
      <c r="J42" s="76" t="s">
        <v>61</v>
      </c>
      <c r="K42" s="74">
        <f>VARP(C8,C17,C37)</f>
        <v>6616208.87075555</v>
      </c>
    </row>
    <row r="43" ht="15.6" spans="1:27">
      <c r="A43" s="89"/>
      <c r="B43" s="112" t="s">
        <v>62</v>
      </c>
      <c r="C43" s="74">
        <f>C7-E7</f>
        <v>79.85925174306</v>
      </c>
      <c r="D43" s="75">
        <f>G7-I7</f>
        <v>0.0550139010473032</v>
      </c>
      <c r="E43" s="75">
        <f>K7-M7</f>
        <v>1.34590265141295</v>
      </c>
      <c r="F43" s="75">
        <f>O7-Q7</f>
        <v>0.391944291037556</v>
      </c>
      <c r="J43" s="76" t="s">
        <v>63</v>
      </c>
      <c r="K43" s="74">
        <f>SQRT(K42)/SQRT(3)*3.182</f>
        <v>4725.46065572095</v>
      </c>
      <c r="L43" s="44" t="s">
        <v>64</v>
      </c>
    </row>
    <row r="44" ht="15.6" spans="1:27">
      <c r="A44" s="90"/>
      <c r="B44" s="117" t="s">
        <v>26</v>
      </c>
      <c r="C44" s="77">
        <f>C8-E8</f>
        <v>166.60217827596</v>
      </c>
      <c r="D44" s="78">
        <f>G8-I8</f>
        <v>0.0546070862941122</v>
      </c>
      <c r="E44" s="78">
        <f>K8-M8</f>
        <v>0.71321220765425</v>
      </c>
      <c r="F44" s="78">
        <f>O8-Q8</f>
        <v>0.21871253815638</v>
      </c>
      <c r="J44" s="76" t="s">
        <v>65</v>
      </c>
      <c r="K44" s="75">
        <f>AVERAGE(G8,G17,G37)</f>
        <v>80.0032470356774</v>
      </c>
    </row>
    <row r="45" ht="15.6" spans="1:27">
      <c r="A45" s="89">
        <v>2</v>
      </c>
      <c r="B45" s="112" t="s">
        <v>27</v>
      </c>
      <c r="C45" s="74">
        <f t="shared" ref="C42:C73" si="0">C9-E9</f>
        <v>71.4581773545001</v>
      </c>
      <c r="D45" s="75">
        <f t="shared" ref="D42:D73" si="1">G9-I9</f>
        <v>1.38676628137679</v>
      </c>
      <c r="E45" s="75">
        <f>K9-M9</f>
        <v>2.9785706800462</v>
      </c>
      <c r="F45" s="75">
        <f>O9-Q9</f>
        <v>0.95991273121151</v>
      </c>
      <c r="J45" s="76" t="s">
        <v>66</v>
      </c>
      <c r="K45" s="75">
        <f>VARP(G8,G17,G37)</f>
        <v>1.9022822609654</v>
      </c>
    </row>
    <row r="46" ht="15.6" spans="1:27">
      <c r="A46" s="89"/>
      <c r="B46" s="112" t="s">
        <v>28</v>
      </c>
      <c r="C46" s="74">
        <f t="shared" si="0"/>
        <v>39.9109585138401</v>
      </c>
      <c r="D46" s="75">
        <f t="shared" si="1"/>
        <v>1.75037919323729</v>
      </c>
      <c r="E46" s="75">
        <f t="shared" ref="E42:E74" si="2">K10-M10</f>
        <v>1.3470398339166</v>
      </c>
      <c r="F46" s="75">
        <f t="shared" ref="F42:F74" si="3">O10-Q10</f>
        <v>0.552290933035394</v>
      </c>
      <c r="J46" s="76" t="s">
        <v>67</v>
      </c>
      <c r="K46" s="75">
        <f>SQRT(K45)/SQRT(3)*3.182</f>
        <v>2.53382739317914</v>
      </c>
    </row>
    <row r="47" ht="15.6" spans="1:27">
      <c r="A47" s="89"/>
      <c r="B47" s="112" t="s">
        <v>29</v>
      </c>
      <c r="C47" s="74">
        <f t="shared" si="0"/>
        <v>30.8941182820799</v>
      </c>
      <c r="D47" s="75">
        <f t="shared" si="1"/>
        <v>2.6275672359276</v>
      </c>
      <c r="E47" s="75">
        <f t="shared" si="2"/>
        <v>2.5446741881184</v>
      </c>
      <c r="F47" s="75">
        <f t="shared" si="3"/>
        <v>0.79476749619927</v>
      </c>
      <c r="J47" s="76" t="s">
        <v>68</v>
      </c>
      <c r="K47" s="75">
        <f>AVERAGE(K8,K17,K37)</f>
        <v>11.6353861317627</v>
      </c>
    </row>
    <row r="48" ht="15.6" spans="1:27">
      <c r="A48" s="89"/>
      <c r="B48" s="122" t="s">
        <v>30</v>
      </c>
      <c r="C48" s="74">
        <f t="shared" si="0"/>
        <v>9.86181941834298</v>
      </c>
      <c r="D48" s="75">
        <f t="shared" si="1"/>
        <v>5.3549201771207</v>
      </c>
      <c r="E48" s="75">
        <f t="shared" si="2"/>
        <v>2.568853773993</v>
      </c>
      <c r="F48" s="75">
        <f t="shared" si="3"/>
        <v>0.85240838853973</v>
      </c>
      <c r="J48" s="76" t="s">
        <v>69</v>
      </c>
      <c r="K48" s="75">
        <f>VARP(K8,K17,K37)</f>
        <v>3.39292168615661</v>
      </c>
    </row>
    <row r="49" ht="15.6" spans="1:11">
      <c r="A49" s="89"/>
      <c r="B49" s="112" t="s">
        <v>31</v>
      </c>
      <c r="C49" s="74">
        <f t="shared" si="0"/>
        <v>14.50829017631</v>
      </c>
      <c r="D49" s="75">
        <f t="shared" si="1"/>
        <v>4.6144029000894</v>
      </c>
      <c r="E49" s="75">
        <f t="shared" si="2"/>
        <v>1.88055441515387</v>
      </c>
      <c r="F49" s="75">
        <f t="shared" si="3"/>
        <v>0.448735671727722</v>
      </c>
      <c r="J49" s="76" t="s">
        <v>70</v>
      </c>
      <c r="K49" s="75">
        <f>SQRT(K48)/SQRT(3)*3.182</f>
        <v>3.38396970015123</v>
      </c>
    </row>
    <row r="50" ht="15.6" spans="1:11">
      <c r="A50" s="89"/>
      <c r="B50" s="112" t="s">
        <v>32</v>
      </c>
      <c r="C50" s="74">
        <f t="shared" si="0"/>
        <v>31.612379779237</v>
      </c>
      <c r="D50" s="75">
        <f t="shared" si="1"/>
        <v>3.6171351659236</v>
      </c>
      <c r="E50" s="75">
        <f t="shared" si="2"/>
        <v>2.51520377993312</v>
      </c>
      <c r="F50" s="75">
        <f t="shared" si="3"/>
        <v>0.783927512344855</v>
      </c>
      <c r="J50" s="76" t="s">
        <v>71</v>
      </c>
      <c r="K50" s="75">
        <f>AVERAGE(O8,O17,O37)</f>
        <v>2.72403766498296</v>
      </c>
    </row>
    <row r="51" ht="15.6" spans="1:11">
      <c r="A51" s="89"/>
      <c r="B51" s="112" t="s">
        <v>33</v>
      </c>
      <c r="C51" s="74">
        <f t="shared" si="0"/>
        <v>75.0035772302504</v>
      </c>
      <c r="D51" s="75">
        <f t="shared" si="1"/>
        <v>0.6933249941398</v>
      </c>
      <c r="E51" s="75">
        <f t="shared" si="2"/>
        <v>4.3358948837278</v>
      </c>
      <c r="F51" s="75">
        <f t="shared" si="3"/>
        <v>0.55147778191286</v>
      </c>
      <c r="J51" s="76" t="s">
        <v>17</v>
      </c>
      <c r="K51" s="75">
        <f>VARP(O8,O17,O37)</f>
        <v>1.12944491518763</v>
      </c>
    </row>
    <row r="52" ht="15.6" spans="1:11">
      <c r="A52" s="89"/>
      <c r="B52" s="112" t="s">
        <v>34</v>
      </c>
      <c r="C52" s="74">
        <f t="shared" si="0"/>
        <v>15.7405939201799</v>
      </c>
      <c r="D52" s="75">
        <f t="shared" si="1"/>
        <v>4.44812555948249</v>
      </c>
      <c r="E52" s="75">
        <f t="shared" si="2"/>
        <v>2.9393822187661</v>
      </c>
      <c r="F52" s="75">
        <f t="shared" si="3"/>
        <v>0.947669483682497</v>
      </c>
      <c r="J52" s="76" t="s">
        <v>72</v>
      </c>
      <c r="K52" s="75">
        <f>SQRT(K51)/SQRT(3)*3.182</f>
        <v>1.95241472860697</v>
      </c>
    </row>
    <row r="53" ht="15.6" spans="1:11">
      <c r="A53" s="89"/>
      <c r="B53" s="125" t="s">
        <v>26</v>
      </c>
      <c r="C53" s="77">
        <f t="shared" si="0"/>
        <v>109.676068242699</v>
      </c>
      <c r="D53" s="78">
        <f t="shared" si="1"/>
        <v>1.1813872043232</v>
      </c>
      <c r="E53" s="80">
        <f t="shared" si="2"/>
        <v>0.890809083077501</v>
      </c>
      <c r="F53" s="80">
        <f t="shared" si="3"/>
        <v>0.27238026565723</v>
      </c>
    </row>
    <row r="54" ht="15.6" spans="1:11">
      <c r="A54" s="57">
        <v>3</v>
      </c>
      <c r="B54" s="112" t="s">
        <v>35</v>
      </c>
      <c r="C54" s="74">
        <f t="shared" si="0"/>
        <v>18.966306051171</v>
      </c>
      <c r="D54" s="75">
        <f t="shared" si="1"/>
        <v>3.69739890270219</v>
      </c>
      <c r="E54" s="75">
        <f t="shared" si="2"/>
        <v>2.74636921499687</v>
      </c>
      <c r="F54" s="75">
        <f t="shared" si="3"/>
        <v>0.627297822604</v>
      </c>
    </row>
    <row r="55" ht="15.6" spans="1:11">
      <c r="A55" s="57"/>
      <c r="B55" s="112" t="s">
        <v>36</v>
      </c>
      <c r="C55" s="74">
        <f t="shared" si="0"/>
        <v>47.0453189215109</v>
      </c>
      <c r="D55" s="75">
        <f t="shared" si="1"/>
        <v>1.8165097069957</v>
      </c>
      <c r="E55" s="75">
        <f t="shared" si="2"/>
        <v>2.68969286179839</v>
      </c>
      <c r="F55" s="75">
        <f t="shared" si="3"/>
        <v>0.416899976593604</v>
      </c>
    </row>
    <row r="56" ht="15.6" spans="1:11">
      <c r="A56" s="57"/>
      <c r="B56" s="112" t="s">
        <v>37</v>
      </c>
      <c r="C56" s="74">
        <f t="shared" si="0"/>
        <v>78.480883410591</v>
      </c>
      <c r="D56" s="75">
        <f t="shared" si="1"/>
        <v>3.49167855956439</v>
      </c>
      <c r="E56" s="75">
        <f t="shared" si="2"/>
        <v>2.9515431195485</v>
      </c>
      <c r="F56" s="75">
        <f t="shared" si="3"/>
        <v>0.624254764404897</v>
      </c>
    </row>
    <row r="57" ht="15.6" spans="1:11">
      <c r="A57" s="57"/>
      <c r="B57" s="112" t="s">
        <v>38</v>
      </c>
      <c r="C57" s="74">
        <f t="shared" si="0"/>
        <v>116.795744910621</v>
      </c>
      <c r="D57" s="75">
        <f t="shared" si="1"/>
        <v>3.4796554535986</v>
      </c>
      <c r="E57" s="75">
        <f t="shared" si="2"/>
        <v>4.15371045416918</v>
      </c>
      <c r="F57" s="75">
        <f t="shared" si="3"/>
        <v>0.579358903292213</v>
      </c>
    </row>
    <row r="58" ht="15.6" spans="1:11">
      <c r="A58" s="57"/>
      <c r="B58" s="112" t="s">
        <v>39</v>
      </c>
      <c r="C58" s="74">
        <f t="shared" si="0"/>
        <v>53.751605469605</v>
      </c>
      <c r="D58" s="75">
        <f t="shared" si="1"/>
        <v>1.2975988327468</v>
      </c>
      <c r="E58" s="75">
        <f t="shared" si="2"/>
        <v>3.4854906646522</v>
      </c>
      <c r="F58" s="75">
        <f t="shared" si="3"/>
        <v>0.60889473073194</v>
      </c>
    </row>
    <row r="59" ht="15.6" spans="1:11">
      <c r="A59" s="57"/>
      <c r="B59" s="112" t="s">
        <v>40</v>
      </c>
      <c r="C59" s="74">
        <f t="shared" si="0"/>
        <v>408.590795329704</v>
      </c>
      <c r="D59" s="75">
        <f t="shared" si="1"/>
        <v>2.9153015273299</v>
      </c>
      <c r="E59" s="75">
        <f t="shared" si="2"/>
        <v>2.54413352433193</v>
      </c>
      <c r="F59" s="75">
        <f t="shared" si="3"/>
        <v>0.586748268856435</v>
      </c>
    </row>
    <row r="60" ht="15.6" spans="1:11">
      <c r="A60" s="57"/>
      <c r="B60" s="112" t="s">
        <v>41</v>
      </c>
      <c r="C60" s="74">
        <f t="shared" si="0"/>
        <v>26.02599563206</v>
      </c>
      <c r="D60" s="75">
        <f t="shared" si="1"/>
        <v>4.0039316626509</v>
      </c>
      <c r="E60" s="75">
        <f t="shared" si="2"/>
        <v>1.72856831792743</v>
      </c>
      <c r="F60" s="75">
        <f t="shared" si="3"/>
        <v>0.537606774376491</v>
      </c>
    </row>
    <row r="61" ht="15.6" spans="1:11">
      <c r="A61" s="57"/>
      <c r="B61" s="112" t="s">
        <v>42</v>
      </c>
      <c r="C61" s="74">
        <f t="shared" si="0"/>
        <v>18.241876295309</v>
      </c>
      <c r="D61" s="75">
        <f t="shared" si="1"/>
        <v>5.5902288710778</v>
      </c>
      <c r="E61" s="75">
        <f t="shared" si="2"/>
        <v>2.69006527860672</v>
      </c>
      <c r="F61" s="75">
        <f t="shared" si="3"/>
        <v>0.463335828229016</v>
      </c>
    </row>
    <row r="62" ht="15.6" spans="1:11">
      <c r="A62" s="57"/>
      <c r="B62" s="112" t="s">
        <v>43</v>
      </c>
      <c r="C62" s="74">
        <f t="shared" si="0"/>
        <v>19.917457894019</v>
      </c>
      <c r="D62" s="75">
        <f t="shared" si="1"/>
        <v>2.1910082042356</v>
      </c>
      <c r="E62" s="75">
        <f t="shared" si="2"/>
        <v>6.2039193837082</v>
      </c>
      <c r="F62" s="75">
        <f t="shared" si="3"/>
        <v>1.22764946391054</v>
      </c>
    </row>
    <row r="63" ht="15.6" spans="1:11">
      <c r="A63" s="57"/>
      <c r="B63" s="112" t="s">
        <v>44</v>
      </c>
      <c r="C63" s="74">
        <f t="shared" si="0"/>
        <v>18.831891067372</v>
      </c>
      <c r="D63" s="75">
        <f t="shared" si="1"/>
        <v>1.8745912555366</v>
      </c>
      <c r="E63" s="75">
        <f t="shared" si="2"/>
        <v>2.01468367818241</v>
      </c>
      <c r="F63" s="75">
        <f t="shared" si="3"/>
        <v>0.581014826827135</v>
      </c>
    </row>
    <row r="64" ht="15.6" spans="1:11">
      <c r="A64" s="57"/>
      <c r="B64" s="112" t="s">
        <v>45</v>
      </c>
      <c r="C64" s="74">
        <f t="shared" si="0"/>
        <v>18.0325254995901</v>
      </c>
      <c r="D64" s="75">
        <f t="shared" si="1"/>
        <v>2.15897692903761</v>
      </c>
      <c r="E64" s="75">
        <f t="shared" si="2"/>
        <v>2.45042898933327</v>
      </c>
      <c r="F64" s="75">
        <f t="shared" si="3"/>
        <v>0.731482402436386</v>
      </c>
    </row>
    <row r="65" ht="15.6" spans="1:6">
      <c r="A65" s="57"/>
      <c r="B65" s="112" t="s">
        <v>46</v>
      </c>
      <c r="C65" s="74">
        <f t="shared" si="0"/>
        <v>403.303059534341</v>
      </c>
      <c r="D65" s="75">
        <f t="shared" si="1"/>
        <v>1.94958337422601</v>
      </c>
      <c r="E65" s="75">
        <f t="shared" si="2"/>
        <v>1.77596668791995</v>
      </c>
      <c r="F65" s="75">
        <f t="shared" si="3"/>
        <v>0.778566502384996</v>
      </c>
    </row>
    <row r="66" ht="15.6" spans="1:6">
      <c r="A66" s="57"/>
      <c r="B66" s="112" t="s">
        <v>47</v>
      </c>
      <c r="C66" s="74">
        <f t="shared" si="0"/>
        <v>40.8161737171301</v>
      </c>
      <c r="D66" s="75">
        <f t="shared" si="1"/>
        <v>2.25652617931509</v>
      </c>
      <c r="E66" s="75">
        <f t="shared" si="2"/>
        <v>2.5401124432325</v>
      </c>
      <c r="F66" s="75">
        <f t="shared" si="3"/>
        <v>0.88691529621847</v>
      </c>
    </row>
    <row r="67" ht="15.6" spans="1:6">
      <c r="A67" s="57"/>
      <c r="B67" s="112" t="s">
        <v>48</v>
      </c>
      <c r="C67" s="74">
        <f t="shared" si="0"/>
        <v>29.391505439498</v>
      </c>
      <c r="D67" s="75">
        <f t="shared" si="1"/>
        <v>3.3150722751076</v>
      </c>
      <c r="E67" s="75">
        <f t="shared" si="2"/>
        <v>1.95613469497487</v>
      </c>
      <c r="F67" s="75">
        <f t="shared" si="3"/>
        <v>0.617944235649643</v>
      </c>
    </row>
    <row r="68" ht="15.6" spans="1:6">
      <c r="A68" s="57"/>
      <c r="B68" s="112" t="s">
        <v>49</v>
      </c>
      <c r="C68" s="74">
        <f t="shared" si="0"/>
        <v>89.4499364939601</v>
      </c>
      <c r="D68" s="75">
        <f t="shared" si="1"/>
        <v>2.93121407995369</v>
      </c>
      <c r="E68" s="75">
        <f t="shared" si="2"/>
        <v>1.37934436007009</v>
      </c>
      <c r="F68" s="75">
        <f t="shared" si="3"/>
        <v>0.301588871886277</v>
      </c>
    </row>
    <row r="69" ht="15.6" spans="1:6">
      <c r="A69" s="57"/>
      <c r="B69" s="112" t="s">
        <v>50</v>
      </c>
      <c r="C69" s="74">
        <f t="shared" si="0"/>
        <v>16.006533332778</v>
      </c>
      <c r="D69" s="75">
        <f t="shared" si="1"/>
        <v>4.8332931708061</v>
      </c>
      <c r="E69" s="75">
        <f t="shared" si="2"/>
        <v>1.14374259598427</v>
      </c>
      <c r="F69" s="75">
        <f t="shared" si="3"/>
        <v>0.451717704458359</v>
      </c>
    </row>
    <row r="70" ht="15.6" spans="1:6">
      <c r="A70" s="57"/>
      <c r="B70" s="112" t="s">
        <v>51</v>
      </c>
      <c r="C70" s="74">
        <f t="shared" si="0"/>
        <v>50.09254382414</v>
      </c>
      <c r="D70" s="75">
        <f t="shared" si="1"/>
        <v>4.0421362131253</v>
      </c>
      <c r="E70" s="75">
        <f t="shared" si="2"/>
        <v>4.43195606467612</v>
      </c>
      <c r="F70" s="75">
        <f t="shared" si="3"/>
        <v>0.549622478661572</v>
      </c>
    </row>
    <row r="71" ht="15.6" spans="1:6">
      <c r="A71" s="57"/>
      <c r="B71" s="112" t="s">
        <v>52</v>
      </c>
      <c r="C71" s="74">
        <f t="shared" si="0"/>
        <v>23.503911608638</v>
      </c>
      <c r="D71" s="75">
        <f t="shared" si="1"/>
        <v>5.77107229514411</v>
      </c>
      <c r="E71" s="75">
        <f t="shared" si="2"/>
        <v>3.01724500232209</v>
      </c>
      <c r="F71" s="75">
        <f t="shared" si="3"/>
        <v>0.575517279516298</v>
      </c>
    </row>
    <row r="72" ht="15.6" spans="1:6">
      <c r="A72" s="57"/>
      <c r="B72" s="112" t="s">
        <v>53</v>
      </c>
      <c r="C72" s="74">
        <f t="shared" si="0"/>
        <v>30.856359949504</v>
      </c>
      <c r="D72" s="75">
        <f t="shared" si="1"/>
        <v>2.45307282666491</v>
      </c>
      <c r="E72" s="75">
        <f t="shared" si="2"/>
        <v>1.39972356019478</v>
      </c>
      <c r="F72" s="75">
        <f t="shared" si="3"/>
        <v>0.655492290385193</v>
      </c>
    </row>
    <row r="73" ht="15.6" spans="1:6">
      <c r="A73" s="57"/>
      <c r="B73" s="129" t="s">
        <v>26</v>
      </c>
      <c r="C73" s="77">
        <f t="shared" si="0"/>
        <v>670.493142301701</v>
      </c>
      <c r="D73" s="78">
        <f t="shared" si="1"/>
        <v>1.7008372687485</v>
      </c>
      <c r="E73" s="80">
        <f t="shared" si="2"/>
        <v>0.5444989840529</v>
      </c>
      <c r="F73" s="80">
        <f t="shared" si="3"/>
        <v>0.35657540127372</v>
      </c>
    </row>
  </sheetData>
  <sortState ref="B15:R33">
    <sortCondition ref="B15:B33"/>
  </sortState>
  <mergeCells count="9">
    <mergeCell ref="Z3:AA3"/>
    <mergeCell ref="J40:K40"/>
    <mergeCell ref="A5:A8"/>
    <mergeCell ref="A9:A17"/>
    <mergeCell ref="A18:A37"/>
    <mergeCell ref="A41:A44"/>
    <mergeCell ref="A45:A53"/>
    <mergeCell ref="A54:A73"/>
    <mergeCell ref="A1:R3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0"/>
  <sheetViews>
    <sheetView zoomScale="56" zoomScaleNormal="56" workbookViewId="0">
      <selection activeCell="B34" sqref="B34"/>
    </sheetView>
  </sheetViews>
  <sheetFormatPr defaultColWidth="8.88888888888889" defaultRowHeight="14.4"/>
  <cols>
    <col min="1" max="1" width="12.962962962963" style="69" customWidth="1"/>
    <col min="2" max="2" width="71.037037037037" style="69" customWidth="1"/>
    <col min="3" max="3" width="29.8888888888889" style="69" customWidth="1"/>
    <col min="4" max="4" width="32.6666666666667" style="69" customWidth="1"/>
    <col min="5" max="5" width="31.5555555555556" style="69" customWidth="1"/>
    <col min="6" max="6" width="31.8888888888889" style="69" customWidth="1"/>
    <col min="7" max="7" width="24.8888888888889" style="69" customWidth="1"/>
    <col min="8" max="8" width="20.4444444444444" style="69" customWidth="1"/>
    <col min="9" max="9" width="21.5555555555556" style="69" customWidth="1"/>
    <col min="10" max="10" width="23.5555555555556" style="69" customWidth="1"/>
    <col min="11" max="11" width="27.7777777777778" style="69" customWidth="1"/>
    <col min="12" max="12" width="27" style="69" customWidth="1"/>
    <col min="13" max="13" width="29.4444444444444" style="69" customWidth="1"/>
    <col min="14" max="14" width="29.7777777777778" style="69" customWidth="1"/>
    <col min="15" max="15" width="31" style="69" customWidth="1"/>
    <col min="16" max="16" width="30.2222222222222" style="69" customWidth="1"/>
    <col min="17" max="17" width="32.6666666666667" style="69" customWidth="1"/>
    <col min="18" max="18" width="33" style="69" customWidth="1"/>
    <col min="19" max="19" width="25.7777777777778" style="69" customWidth="1"/>
    <col min="20" max="21" width="8.88888888888889" style="69"/>
    <col min="22" max="22" width="73.1944444444444" style="69" customWidth="1"/>
    <col min="23" max="23" width="27.1574074074074" style="69" customWidth="1"/>
    <col min="24" max="24" width="22.5740740740741" style="69" customWidth="1"/>
    <col min="25" max="25" width="8.88888888888889" style="69"/>
    <col min="26" max="26" width="14.1018518518519" style="69" customWidth="1"/>
    <col min="27" max="27" width="20.9814814814815" style="69" customWidth="1"/>
    <col min="28" max="16384" width="8.88888888888889" style="69"/>
  </cols>
  <sheetData>
    <row r="1" s="44" customFormat="1" spans="1:27">
      <c r="A1" s="47" t="s">
        <v>73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</row>
    <row r="2" s="44" customFormat="1" spans="1:27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</row>
    <row r="3" s="44" customFormat="1" spans="1:27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Z3" s="81" t="s">
        <v>1</v>
      </c>
      <c r="AA3" s="81"/>
    </row>
    <row r="4" s="42" customFormat="1" ht="18" spans="1:27">
      <c r="A4" s="49"/>
      <c r="B4" s="82" t="s">
        <v>3</v>
      </c>
      <c r="C4" s="82" t="s">
        <v>4</v>
      </c>
      <c r="D4" s="82" t="s">
        <v>5</v>
      </c>
      <c r="E4" s="82" t="s">
        <v>6</v>
      </c>
      <c r="F4" s="82" t="s">
        <v>7</v>
      </c>
      <c r="G4" s="82" t="s">
        <v>8</v>
      </c>
      <c r="H4" s="82" t="s">
        <v>9</v>
      </c>
      <c r="I4" s="82" t="s">
        <v>10</v>
      </c>
      <c r="J4" s="82" t="s">
        <v>11</v>
      </c>
      <c r="K4" s="82" t="s">
        <v>12</v>
      </c>
      <c r="L4" s="82" t="s">
        <v>13</v>
      </c>
      <c r="M4" s="82" t="s">
        <v>14</v>
      </c>
      <c r="N4" s="82" t="s">
        <v>15</v>
      </c>
      <c r="O4" s="82" t="s">
        <v>16</v>
      </c>
      <c r="P4" s="82" t="s">
        <v>17</v>
      </c>
      <c r="Q4" s="82" t="s">
        <v>18</v>
      </c>
      <c r="R4" s="55" t="s">
        <v>19</v>
      </c>
      <c r="V4" s="82" t="s">
        <v>3</v>
      </c>
      <c r="W4" s="82" t="s">
        <v>4</v>
      </c>
      <c r="X4" s="55" t="s">
        <v>20</v>
      </c>
      <c r="Y4" s="83"/>
      <c r="Z4" s="84" t="s">
        <v>21</v>
      </c>
      <c r="AA4" s="84" t="s">
        <v>22</v>
      </c>
    </row>
    <row r="5" s="42" customFormat="1" ht="15.6" spans="1:27">
      <c r="A5" s="85">
        <v>1</v>
      </c>
      <c r="B5" s="86" t="s">
        <v>74</v>
      </c>
      <c r="C5" s="74">
        <v>2196.88</v>
      </c>
      <c r="D5" s="74">
        <v>114630.193333333</v>
      </c>
      <c r="E5" s="74">
        <v>2064.16024250936</v>
      </c>
      <c r="F5" s="74">
        <v>2329.59975749063</v>
      </c>
      <c r="G5" s="75">
        <v>29.5828</v>
      </c>
      <c r="H5" s="75">
        <v>0.643895999999999</v>
      </c>
      <c r="I5" s="75">
        <v>29.2682469282553</v>
      </c>
      <c r="J5" s="75">
        <v>29.8973530717446</v>
      </c>
      <c r="K5" s="75">
        <v>11.9168</v>
      </c>
      <c r="L5" s="75">
        <v>9.31083933333333</v>
      </c>
      <c r="M5" s="75">
        <v>10.7206642153512</v>
      </c>
      <c r="N5" s="75">
        <v>13.1129357846487</v>
      </c>
      <c r="O5" s="75">
        <v>8.3324</v>
      </c>
      <c r="P5" s="75">
        <v>1.76188566666666</v>
      </c>
      <c r="Q5" s="75">
        <v>7.81207471800549</v>
      </c>
      <c r="R5" s="75">
        <v>8.85272528199451</v>
      </c>
      <c r="V5" s="86" t="s">
        <v>74</v>
      </c>
      <c r="W5" s="74">
        <v>2196.88</v>
      </c>
      <c r="X5" s="62">
        <v>2</v>
      </c>
      <c r="Y5" s="83"/>
      <c r="Z5" s="87">
        <v>1</v>
      </c>
      <c r="AA5" s="88">
        <f>AVERAGEIF($X$5:$X$34,1,W5:W34)</f>
        <v>262.24</v>
      </c>
    </row>
    <row r="6" s="42" customFormat="1" ht="15.6" spans="1:27">
      <c r="A6" s="89"/>
      <c r="B6" s="86" t="s">
        <v>75</v>
      </c>
      <c r="C6" s="74">
        <v>725.56</v>
      </c>
      <c r="D6" s="74">
        <v>23261.6733333333</v>
      </c>
      <c r="E6" s="74">
        <v>665.77303008938</v>
      </c>
      <c r="F6" s="74">
        <v>785.346969910619</v>
      </c>
      <c r="G6" s="75">
        <v>30.4596</v>
      </c>
      <c r="H6" s="75">
        <v>0.634887333333333</v>
      </c>
      <c r="I6" s="75">
        <v>30.1472551149941</v>
      </c>
      <c r="J6" s="75">
        <v>30.7719448850058</v>
      </c>
      <c r="K6" s="75">
        <v>17.0204</v>
      </c>
      <c r="L6" s="75">
        <v>30.7352039999999</v>
      </c>
      <c r="M6" s="75">
        <v>14.8471778789419</v>
      </c>
      <c r="N6" s="75">
        <v>19.193622121058</v>
      </c>
      <c r="O6" s="75">
        <v>1.56599999999999</v>
      </c>
      <c r="P6" s="75">
        <v>4.45837499999999</v>
      </c>
      <c r="Q6" s="75">
        <v>0.738297314248648</v>
      </c>
      <c r="R6" s="75">
        <v>2.39370268575135</v>
      </c>
      <c r="V6" s="86" t="s">
        <v>75</v>
      </c>
      <c r="W6" s="74">
        <v>725.56</v>
      </c>
      <c r="X6" s="62">
        <v>3</v>
      </c>
      <c r="Y6" s="83"/>
      <c r="Z6" s="87">
        <v>2</v>
      </c>
      <c r="AA6" s="88">
        <f>AVERAGEIF($X$5:$X$34,2,$W$5:$W$34)</f>
        <v>850.625</v>
      </c>
    </row>
    <row r="7" s="42" customFormat="1" ht="15.6" spans="1:27">
      <c r="A7" s="89"/>
      <c r="B7" s="86" t="s">
        <v>76</v>
      </c>
      <c r="C7" s="74">
        <v>940</v>
      </c>
      <c r="D7" s="74">
        <v>79083.5833333333</v>
      </c>
      <c r="E7" s="74">
        <v>829.762530193525</v>
      </c>
      <c r="F7" s="74">
        <v>1050.23746980647</v>
      </c>
      <c r="G7" s="75">
        <v>35.0868</v>
      </c>
      <c r="H7" s="75">
        <v>8.37902266666667</v>
      </c>
      <c r="I7" s="75">
        <v>33.9520955719436</v>
      </c>
      <c r="J7" s="75">
        <v>36.2215044280563</v>
      </c>
      <c r="K7" s="75">
        <v>14.4183999999999</v>
      </c>
      <c r="L7" s="75">
        <v>25.531689</v>
      </c>
      <c r="M7" s="75">
        <v>12.4376674439753</v>
      </c>
      <c r="N7" s="75">
        <v>16.3991325560246</v>
      </c>
      <c r="O7" s="75">
        <v>1.0952</v>
      </c>
      <c r="P7" s="75">
        <v>1.64640933333333</v>
      </c>
      <c r="Q7" s="75">
        <v>0.592215066033451</v>
      </c>
      <c r="R7" s="75">
        <v>1.59818493396654</v>
      </c>
      <c r="V7" s="86" t="s">
        <v>76</v>
      </c>
      <c r="W7" s="74">
        <v>940</v>
      </c>
      <c r="X7" s="62">
        <v>3</v>
      </c>
      <c r="Y7" s="83"/>
      <c r="Z7" s="87">
        <v>3</v>
      </c>
      <c r="AA7" s="88">
        <f>AVERAGEIF($X$5:$X$34,3,$W$5:$W$34)</f>
        <v>765.806153846154</v>
      </c>
    </row>
    <row r="8" s="42" customFormat="1" ht="15.6" spans="1:27">
      <c r="A8" s="90"/>
      <c r="B8" s="91" t="s">
        <v>26</v>
      </c>
      <c r="C8" s="79">
        <v>3862.44</v>
      </c>
      <c r="D8" s="79">
        <v>218781.506666666</v>
      </c>
      <c r="E8" s="79">
        <v>3679.08558516243</v>
      </c>
      <c r="F8" s="79">
        <v>4045.79441483756</v>
      </c>
      <c r="G8" s="80">
        <v>31.7097333333333</v>
      </c>
      <c r="H8" s="80">
        <v>0.604359185185186</v>
      </c>
      <c r="I8" s="80">
        <v>31.4049904091623</v>
      </c>
      <c r="J8" s="80">
        <v>32.0144762575043</v>
      </c>
      <c r="K8" s="80">
        <v>14.4518666666666</v>
      </c>
      <c r="L8" s="80">
        <v>3.90281118518518</v>
      </c>
      <c r="M8" s="80">
        <v>13.6774497389331</v>
      </c>
      <c r="N8" s="80">
        <v>15.2262835944002</v>
      </c>
      <c r="O8" s="80">
        <v>3.66453333333333</v>
      </c>
      <c r="P8" s="80">
        <v>0.886542481481481</v>
      </c>
      <c r="Q8" s="80">
        <v>3.29544030457991</v>
      </c>
      <c r="R8" s="78">
        <v>4.03362636208674</v>
      </c>
      <c r="V8" s="91" t="s">
        <v>26</v>
      </c>
      <c r="W8" s="79">
        <v>3862.44</v>
      </c>
      <c r="X8" s="62">
        <v>0</v>
      </c>
      <c r="Y8" s="83"/>
      <c r="Z8" s="87">
        <v>4</v>
      </c>
      <c r="AA8" s="88">
        <f>AVERAGEIF($X$5:$X$34,4,$W$5:$W$34)</f>
        <v>822.333333333333</v>
      </c>
    </row>
    <row r="9" s="42" customFormat="1" ht="15.6" spans="1:27">
      <c r="A9" s="89"/>
      <c r="B9" s="86" t="s">
        <v>77</v>
      </c>
      <c r="C9" s="74">
        <v>2460.36</v>
      </c>
      <c r="D9" s="74">
        <f>'Эксперемент по прогреву'!B34</f>
        <v>2083374.3104</v>
      </c>
      <c r="E9" s="74">
        <f>C9-SQRT(D9)/5*1.96</f>
        <v>1894.55117183159</v>
      </c>
      <c r="F9" s="74">
        <f>C9-SQRT(D9)/5*1.96</f>
        <v>1894.55117183159</v>
      </c>
      <c r="G9" s="75">
        <v>24.3336</v>
      </c>
      <c r="H9" s="75">
        <v>0.444815666666666</v>
      </c>
      <c r="I9" s="75">
        <v>24.0721575501134</v>
      </c>
      <c r="J9" s="75">
        <v>24.5950424498865</v>
      </c>
      <c r="K9" s="75">
        <v>8.1664</v>
      </c>
      <c r="L9" s="75">
        <v>7.423949</v>
      </c>
      <c r="M9" s="75">
        <v>7.09832055579372</v>
      </c>
      <c r="N9" s="75">
        <v>9.23447944420628</v>
      </c>
      <c r="O9" s="75">
        <v>7.92599999999999</v>
      </c>
      <c r="P9" s="75">
        <v>2.76738333333333</v>
      </c>
      <c r="Q9" s="75">
        <v>7.27389019902064</v>
      </c>
      <c r="R9" s="75">
        <v>8.57810980097935</v>
      </c>
      <c r="V9" s="86" t="s">
        <v>77</v>
      </c>
      <c r="W9" s="74">
        <v>2460.36</v>
      </c>
      <c r="X9" s="62">
        <v>2</v>
      </c>
      <c r="Y9" s="83"/>
    </row>
    <row r="10" s="42" customFormat="1" ht="15.6" spans="1:27">
      <c r="A10" s="89"/>
      <c r="B10" s="86" t="s">
        <v>78</v>
      </c>
      <c r="C10" s="74">
        <v>1328.4</v>
      </c>
      <c r="D10" s="74">
        <f>'Эксперемент по прогреву'!C34</f>
        <v>22858.96</v>
      </c>
      <c r="E10" s="74">
        <f t="shared" ref="E10:E15" si="0">C10-SQRT(D10)/5*1.96</f>
        <v>1269.13281490201</v>
      </c>
      <c r="F10" s="74">
        <f t="shared" ref="F10:F15" si="1">C10-SQRT(D10)/5*1.96</f>
        <v>1269.13281490201</v>
      </c>
      <c r="G10" s="75">
        <v>35.086</v>
      </c>
      <c r="H10" s="75">
        <v>1.16855</v>
      </c>
      <c r="I10" s="75">
        <v>34.6622499944542</v>
      </c>
      <c r="J10" s="75">
        <v>35.5097500055457</v>
      </c>
      <c r="K10" s="75">
        <v>25.17</v>
      </c>
      <c r="L10" s="75">
        <v>44.7754583333333</v>
      </c>
      <c r="M10" s="75">
        <v>22.5469529113389</v>
      </c>
      <c r="N10" s="75">
        <v>27.793047088661</v>
      </c>
      <c r="O10" s="75">
        <v>1.862</v>
      </c>
      <c r="P10" s="75">
        <v>1.52008333333333</v>
      </c>
      <c r="Q10" s="75">
        <v>1.37869669426608</v>
      </c>
      <c r="R10" s="75">
        <v>2.34530330573391</v>
      </c>
      <c r="V10" s="86" t="s">
        <v>78</v>
      </c>
      <c r="W10" s="74">
        <v>1328.4</v>
      </c>
      <c r="X10" s="62">
        <v>3</v>
      </c>
      <c r="Y10" s="83"/>
    </row>
    <row r="11" s="42" customFormat="1" ht="15.6" spans="1:27">
      <c r="A11" s="89"/>
      <c r="B11" s="86" t="s">
        <v>79</v>
      </c>
      <c r="C11" s="74">
        <v>891.32</v>
      </c>
      <c r="D11" s="74">
        <f>'Эксперемент по прогреву'!D34</f>
        <v>31421.2576</v>
      </c>
      <c r="E11" s="74">
        <f t="shared" si="0"/>
        <v>821.833914142136</v>
      </c>
      <c r="F11" s="74">
        <f t="shared" si="1"/>
        <v>821.833914142136</v>
      </c>
      <c r="G11" s="75">
        <v>35.8004</v>
      </c>
      <c r="H11" s="75">
        <v>1.17057066666666</v>
      </c>
      <c r="I11" s="75">
        <v>35.3762837766335</v>
      </c>
      <c r="J11" s="75">
        <v>36.2245162233665</v>
      </c>
      <c r="K11" s="75">
        <v>12.5735999999999</v>
      </c>
      <c r="L11" s="75">
        <v>16.2919406666666</v>
      </c>
      <c r="M11" s="75">
        <v>10.9913595724408</v>
      </c>
      <c r="N11" s="75">
        <v>14.1558404275591</v>
      </c>
      <c r="O11" s="75">
        <v>1.0488</v>
      </c>
      <c r="P11" s="75">
        <v>1.07659433333333</v>
      </c>
      <c r="Q11" s="75">
        <v>0.642064469664459</v>
      </c>
      <c r="R11" s="75">
        <v>1.45553553033554</v>
      </c>
      <c r="V11" s="86" t="s">
        <v>79</v>
      </c>
      <c r="W11" s="74">
        <v>891.32</v>
      </c>
      <c r="X11" s="62">
        <v>4</v>
      </c>
      <c r="Y11" s="83"/>
    </row>
    <row r="12" s="42" customFormat="1" ht="15.6" spans="1:27">
      <c r="A12" s="89"/>
      <c r="B12" s="86" t="s">
        <v>33</v>
      </c>
      <c r="C12" s="74">
        <v>1301.92</v>
      </c>
      <c r="D12" s="74">
        <f>'Эксперемент по прогреву'!E34</f>
        <v>31825.5936</v>
      </c>
      <c r="E12" s="74">
        <f t="shared" si="0"/>
        <v>1231.98826174797</v>
      </c>
      <c r="F12" s="74">
        <f t="shared" si="1"/>
        <v>1231.98826174797</v>
      </c>
      <c r="G12" s="75">
        <v>32.188</v>
      </c>
      <c r="H12" s="75">
        <v>1.21230833333333</v>
      </c>
      <c r="I12" s="75">
        <v>31.7563888929448</v>
      </c>
      <c r="J12" s="75">
        <v>32.6196111070551</v>
      </c>
      <c r="K12" s="75">
        <v>17.7964</v>
      </c>
      <c r="L12" s="75">
        <v>15.3018656666666</v>
      </c>
      <c r="M12" s="75">
        <v>16.2629901116131</v>
      </c>
      <c r="N12" s="75">
        <v>19.3298098883868</v>
      </c>
      <c r="O12" s="75">
        <v>1.5812</v>
      </c>
      <c r="P12" s="75">
        <v>2.34256099999999</v>
      </c>
      <c r="Q12" s="75">
        <v>0.981227256032409</v>
      </c>
      <c r="R12" s="75">
        <v>2.18117274396759</v>
      </c>
      <c r="V12" s="86" t="s">
        <v>33</v>
      </c>
      <c r="W12" s="74">
        <v>1301.92</v>
      </c>
      <c r="X12" s="62">
        <v>3</v>
      </c>
      <c r="Y12" s="83"/>
    </row>
    <row r="13" s="42" customFormat="1" ht="15.6" spans="1:27">
      <c r="A13" s="89"/>
      <c r="B13" s="86" t="s">
        <v>80</v>
      </c>
      <c r="C13" s="74">
        <v>842.52</v>
      </c>
      <c r="D13" s="74">
        <f>'Эксперемент по прогреву'!F34</f>
        <v>6462.4896</v>
      </c>
      <c r="E13" s="74">
        <f t="shared" si="0"/>
        <v>811.007272382505</v>
      </c>
      <c r="F13" s="74">
        <f t="shared" si="1"/>
        <v>811.007272382505</v>
      </c>
      <c r="G13" s="75">
        <v>36.0044</v>
      </c>
      <c r="H13" s="75">
        <v>0.956133999999999</v>
      </c>
      <c r="I13" s="75">
        <v>35.6210941495672</v>
      </c>
      <c r="J13" s="75">
        <v>36.3877058504327</v>
      </c>
      <c r="K13" s="75">
        <v>10.6835999999999</v>
      </c>
      <c r="L13" s="75">
        <v>16.567449</v>
      </c>
      <c r="M13" s="75">
        <v>9.08803725189636</v>
      </c>
      <c r="N13" s="75">
        <v>12.2791627481036</v>
      </c>
      <c r="O13" s="75">
        <v>0.832799999999999</v>
      </c>
      <c r="P13" s="75">
        <v>1.75703766666666</v>
      </c>
      <c r="Q13" s="75">
        <v>0.313191073969406</v>
      </c>
      <c r="R13" s="75">
        <v>1.35240892603059</v>
      </c>
      <c r="V13" s="86" t="s">
        <v>80</v>
      </c>
      <c r="W13" s="74">
        <v>842.52</v>
      </c>
      <c r="X13" s="62">
        <v>4</v>
      </c>
      <c r="Y13" s="83"/>
    </row>
    <row r="14" s="42" customFormat="1" ht="15.6" spans="1:27">
      <c r="A14" s="89"/>
      <c r="B14" s="86" t="s">
        <v>30</v>
      </c>
      <c r="C14" s="74">
        <v>850.48</v>
      </c>
      <c r="D14" s="74">
        <f>'Эксперемент по прогреву'!G34</f>
        <v>467.4496</v>
      </c>
      <c r="E14" s="74">
        <f t="shared" si="0"/>
        <v>842.004731547945</v>
      </c>
      <c r="F14" s="74">
        <f t="shared" si="1"/>
        <v>842.004731547945</v>
      </c>
      <c r="G14" s="75">
        <v>36.2448</v>
      </c>
      <c r="H14" s="75">
        <v>7.45870933333333</v>
      </c>
      <c r="I14" s="75">
        <v>35.1742230009021</v>
      </c>
      <c r="J14" s="75">
        <v>37.3153769990978</v>
      </c>
      <c r="K14" s="75">
        <v>13.6991999999999</v>
      </c>
      <c r="L14" s="75">
        <v>19.5858826666666</v>
      </c>
      <c r="M14" s="75">
        <v>11.9643671336723</v>
      </c>
      <c r="N14" s="75">
        <v>15.4340328663276</v>
      </c>
      <c r="O14" s="75">
        <v>1.0184</v>
      </c>
      <c r="P14" s="75">
        <v>1.39810566666666</v>
      </c>
      <c r="Q14" s="75">
        <v>0.554893247985893</v>
      </c>
      <c r="R14" s="75">
        <v>1.4819067520141</v>
      </c>
      <c r="V14" s="86" t="s">
        <v>30</v>
      </c>
      <c r="W14" s="74">
        <v>850.48</v>
      </c>
      <c r="X14" s="62">
        <v>3</v>
      </c>
      <c r="Y14" s="83"/>
    </row>
    <row r="15" s="42" customFormat="1" ht="15.6" spans="1:27">
      <c r="A15" s="89"/>
      <c r="B15" s="86" t="s">
        <v>31</v>
      </c>
      <c r="C15" s="74">
        <v>737.92</v>
      </c>
      <c r="D15" s="74">
        <f>'Эксперемент по прогреву'!H29</f>
        <v>710</v>
      </c>
      <c r="E15" s="74">
        <f t="shared" si="0"/>
        <v>727.474836525932</v>
      </c>
      <c r="F15" s="74">
        <f t="shared" si="1"/>
        <v>727.474836525932</v>
      </c>
      <c r="G15" s="75">
        <v>38.4996</v>
      </c>
      <c r="H15" s="75">
        <v>8.190779</v>
      </c>
      <c r="I15" s="75">
        <v>37.3777141482949</v>
      </c>
      <c r="J15" s="75">
        <v>39.621485851705</v>
      </c>
      <c r="K15" s="75">
        <v>6.18639999999999</v>
      </c>
      <c r="L15" s="75">
        <v>9.651849</v>
      </c>
      <c r="M15" s="75">
        <v>4.96855693755886</v>
      </c>
      <c r="N15" s="75">
        <v>7.40424306244113</v>
      </c>
      <c r="O15" s="75">
        <v>0.3412</v>
      </c>
      <c r="P15" s="75">
        <v>1.04076933333333</v>
      </c>
      <c r="Q15" s="75">
        <v>-0.0587109636373243</v>
      </c>
      <c r="R15" s="75">
        <v>0.741110963637324</v>
      </c>
      <c r="V15" s="86" t="s">
        <v>31</v>
      </c>
      <c r="W15" s="74">
        <v>737.92</v>
      </c>
      <c r="X15" s="62">
        <v>3</v>
      </c>
      <c r="Y15" s="83"/>
    </row>
    <row r="16" s="42" customFormat="1" ht="15.6" spans="1:27">
      <c r="A16" s="89"/>
      <c r="B16" s="91" t="s">
        <v>26</v>
      </c>
      <c r="C16" s="92">
        <v>8412.92</v>
      </c>
      <c r="D16" s="77">
        <f>'Эксперемент по прогреву'!I34</f>
        <v>2045994.5536</v>
      </c>
      <c r="E16" s="92">
        <v>7840.64774991888</v>
      </c>
      <c r="F16" s="92">
        <v>8985.19225008112</v>
      </c>
      <c r="G16" s="93">
        <v>34.0224</v>
      </c>
      <c r="H16" s="93">
        <v>1.61128736734694</v>
      </c>
      <c r="I16" s="93">
        <v>33.5248089409806</v>
      </c>
      <c r="J16" s="93">
        <v>34.5199910590193</v>
      </c>
      <c r="K16" s="93">
        <v>13.4679428571428</v>
      </c>
      <c r="L16" s="93">
        <v>2.47454984353741</v>
      </c>
      <c r="M16" s="93">
        <v>12.8512993400624</v>
      </c>
      <c r="N16" s="93">
        <v>14.0845863742232</v>
      </c>
      <c r="O16" s="93">
        <v>2.08719999999999</v>
      </c>
      <c r="P16" s="93">
        <v>0.233322360544217</v>
      </c>
      <c r="Q16" s="93">
        <v>1.89785046287179</v>
      </c>
      <c r="R16" s="78">
        <v>2.2765495371282</v>
      </c>
      <c r="V16" s="91" t="s">
        <v>26</v>
      </c>
      <c r="W16" s="92">
        <v>8412.92</v>
      </c>
      <c r="X16" s="62">
        <v>0</v>
      </c>
      <c r="Y16" s="83"/>
    </row>
    <row r="17" s="42" customFormat="1" ht="15.6" spans="1:25">
      <c r="A17" s="89"/>
      <c r="B17" s="94" t="s">
        <v>36</v>
      </c>
      <c r="C17" s="74">
        <v>1439.24</v>
      </c>
      <c r="D17" s="74">
        <v>375140.356666666</v>
      </c>
      <c r="E17" s="74">
        <v>1199.14508592053</v>
      </c>
      <c r="F17" s="74">
        <v>1679.33491407946</v>
      </c>
      <c r="G17" s="75">
        <v>27.5696</v>
      </c>
      <c r="H17" s="75">
        <v>0.157212333333333</v>
      </c>
      <c r="I17" s="75">
        <v>27.4141719588062</v>
      </c>
      <c r="J17" s="75">
        <v>27.7250280411937</v>
      </c>
      <c r="K17" s="75">
        <v>13.332</v>
      </c>
      <c r="L17" s="75">
        <v>24.5851083333333</v>
      </c>
      <c r="M17" s="75">
        <v>11.388331796079</v>
      </c>
      <c r="N17" s="75">
        <v>15.2756682039209</v>
      </c>
      <c r="O17" s="75">
        <v>8.3816</v>
      </c>
      <c r="P17" s="75">
        <v>2.89160566666666</v>
      </c>
      <c r="Q17" s="75">
        <v>7.71501490178472</v>
      </c>
      <c r="R17" s="75">
        <v>9.04818509821527</v>
      </c>
      <c r="V17" s="94" t="s">
        <v>36</v>
      </c>
      <c r="W17" s="74">
        <v>1439.24</v>
      </c>
      <c r="X17" s="62">
        <v>3</v>
      </c>
      <c r="Y17" s="83"/>
    </row>
    <row r="18" s="42" customFormat="1" ht="15.6" spans="1:25">
      <c r="A18" s="89"/>
      <c r="B18" s="94" t="s">
        <v>53</v>
      </c>
      <c r="C18" s="74">
        <v>331.92</v>
      </c>
      <c r="D18" s="74">
        <v>10598.5766666666</v>
      </c>
      <c r="E18" s="74">
        <v>291.563839566843</v>
      </c>
      <c r="F18" s="74">
        <v>372.276160433156</v>
      </c>
      <c r="G18" s="75">
        <v>32.9659999999999</v>
      </c>
      <c r="H18" s="75">
        <v>0.150691666666666</v>
      </c>
      <c r="I18" s="75">
        <v>32.8138294237815</v>
      </c>
      <c r="J18" s="75">
        <v>33.1181705762184</v>
      </c>
      <c r="K18" s="75">
        <v>13.4092</v>
      </c>
      <c r="L18" s="75">
        <v>38.6932993333333</v>
      </c>
      <c r="M18" s="75">
        <v>10.9708056207501</v>
      </c>
      <c r="N18" s="75">
        <v>15.8475943792498</v>
      </c>
      <c r="O18" s="75">
        <v>0.5992</v>
      </c>
      <c r="P18" s="75">
        <v>2.77187433333333</v>
      </c>
      <c r="Q18" s="75">
        <v>-0.0534387190148418</v>
      </c>
      <c r="R18" s="75">
        <v>1.25183871901484</v>
      </c>
      <c r="V18" s="94" t="s">
        <v>53</v>
      </c>
      <c r="W18" s="74">
        <v>331.92</v>
      </c>
      <c r="X18" s="62">
        <v>1</v>
      </c>
      <c r="Y18" s="83"/>
    </row>
    <row r="19" s="42" customFormat="1" ht="15.6" spans="1:25">
      <c r="A19" s="89"/>
      <c r="B19" s="94" t="s">
        <v>37</v>
      </c>
      <c r="C19" s="74">
        <v>875</v>
      </c>
      <c r="D19" s="74">
        <v>139670.166666666</v>
      </c>
      <c r="E19" s="74">
        <v>728.499909588196</v>
      </c>
      <c r="F19" s="74">
        <v>1021.5000904118</v>
      </c>
      <c r="G19" s="75">
        <v>34.22</v>
      </c>
      <c r="H19" s="75">
        <v>0.143233333333333</v>
      </c>
      <c r="I19" s="75">
        <v>34.0716429747759</v>
      </c>
      <c r="J19" s="75">
        <v>34.368357025224</v>
      </c>
      <c r="K19" s="75">
        <v>22.1108</v>
      </c>
      <c r="L19" s="75">
        <v>23.4832243333333</v>
      </c>
      <c r="M19" s="75">
        <v>20.2111878859205</v>
      </c>
      <c r="N19" s="75">
        <v>24.0104121140794</v>
      </c>
      <c r="O19" s="75">
        <v>2.186</v>
      </c>
      <c r="P19" s="75">
        <v>4.59718333333333</v>
      </c>
      <c r="Q19" s="75">
        <v>1.34551110671625</v>
      </c>
      <c r="R19" s="75">
        <v>3.02648889328374</v>
      </c>
      <c r="V19" s="94" t="s">
        <v>37</v>
      </c>
      <c r="W19" s="74">
        <v>875</v>
      </c>
      <c r="X19" s="62">
        <v>3</v>
      </c>
      <c r="Y19" s="83"/>
    </row>
    <row r="20" s="42" customFormat="1" ht="15.6" spans="1:25">
      <c r="A20" s="89"/>
      <c r="B20" s="94" t="s">
        <v>49</v>
      </c>
      <c r="C20" s="74">
        <v>256.16</v>
      </c>
      <c r="D20" s="74">
        <v>19411.7233333333</v>
      </c>
      <c r="E20" s="74">
        <v>201.544223393845</v>
      </c>
      <c r="F20" s="74">
        <v>310.775776606154</v>
      </c>
      <c r="G20" s="75">
        <v>36.4056</v>
      </c>
      <c r="H20" s="75">
        <v>0.716867333333333</v>
      </c>
      <c r="I20" s="75">
        <v>36.0737013680213</v>
      </c>
      <c r="J20" s="75">
        <v>36.7374986319787</v>
      </c>
      <c r="K20" s="75">
        <v>7.80679999999999</v>
      </c>
      <c r="L20" s="75">
        <v>63.477331</v>
      </c>
      <c r="M20" s="75">
        <v>4.68363164226069</v>
      </c>
      <c r="N20" s="75">
        <v>10.9299683577393</v>
      </c>
      <c r="O20" s="75">
        <v>1.09399999999999</v>
      </c>
      <c r="P20" s="75">
        <v>6.66445833333333</v>
      </c>
      <c r="Q20" s="75">
        <v>0.0820280017049219</v>
      </c>
      <c r="R20" s="75">
        <v>2.10597199829507</v>
      </c>
      <c r="V20" s="94" t="s">
        <v>49</v>
      </c>
      <c r="W20" s="74">
        <v>256.16</v>
      </c>
      <c r="X20" s="62">
        <v>1</v>
      </c>
      <c r="Y20" s="83"/>
    </row>
    <row r="21" s="42" customFormat="1" ht="15.6" spans="1:25">
      <c r="A21" s="89"/>
      <c r="B21" s="94" t="s">
        <v>46</v>
      </c>
      <c r="C21" s="74">
        <v>250.08</v>
      </c>
      <c r="D21" s="74">
        <v>13292.5766666666</v>
      </c>
      <c r="E21" s="74">
        <v>204.88497260863</v>
      </c>
      <c r="F21" s="74">
        <v>295.275027391369</v>
      </c>
      <c r="G21" s="75">
        <v>38.6944</v>
      </c>
      <c r="H21" s="75">
        <v>0.734200666666666</v>
      </c>
      <c r="I21" s="75">
        <v>38.3585127998231</v>
      </c>
      <c r="J21" s="75">
        <v>39.0302872001768</v>
      </c>
      <c r="K21" s="75">
        <v>7.08479999999999</v>
      </c>
      <c r="L21" s="75">
        <v>43.1222926666666</v>
      </c>
      <c r="M21" s="75">
        <v>4.51063140017389</v>
      </c>
      <c r="N21" s="75">
        <v>9.6589685998261</v>
      </c>
      <c r="O21" s="75">
        <v>1.6816</v>
      </c>
      <c r="P21" s="75">
        <v>9.36819733333333</v>
      </c>
      <c r="Q21" s="75">
        <v>0.481785566418984</v>
      </c>
      <c r="R21" s="75">
        <v>2.88141443358101</v>
      </c>
      <c r="V21" s="94" t="s">
        <v>46</v>
      </c>
      <c r="W21" s="74">
        <v>250.08</v>
      </c>
      <c r="X21" s="62">
        <v>1</v>
      </c>
      <c r="Y21" s="83"/>
    </row>
    <row r="22" s="42" customFormat="1" ht="15.6" spans="1:25">
      <c r="A22" s="89"/>
      <c r="B22" s="94" t="s">
        <v>39</v>
      </c>
      <c r="C22" s="74">
        <v>358.04</v>
      </c>
      <c r="D22" s="74">
        <v>6375.29</v>
      </c>
      <c r="E22" s="74">
        <v>326.740598047886</v>
      </c>
      <c r="F22" s="74">
        <v>389.339401952114</v>
      </c>
      <c r="G22" s="75">
        <v>38.9659999999999</v>
      </c>
      <c r="H22" s="75">
        <v>0.735133333333333</v>
      </c>
      <c r="I22" s="75">
        <v>38.6298995261334</v>
      </c>
      <c r="J22" s="75">
        <v>39.3021004738665</v>
      </c>
      <c r="K22" s="75">
        <v>17.0999999999999</v>
      </c>
      <c r="L22" s="75">
        <v>69.3698333333333</v>
      </c>
      <c r="M22" s="75">
        <v>13.8350886582736</v>
      </c>
      <c r="N22" s="75">
        <v>20.3649113417263</v>
      </c>
      <c r="O22" s="75">
        <v>1.6212</v>
      </c>
      <c r="P22" s="75">
        <v>9.18041933333333</v>
      </c>
      <c r="Q22" s="75">
        <v>0.433471093036237</v>
      </c>
      <c r="R22" s="75">
        <v>2.80892890696376</v>
      </c>
      <c r="V22" s="94" t="s">
        <v>39</v>
      </c>
      <c r="W22" s="74">
        <v>358.04</v>
      </c>
      <c r="X22" s="62">
        <v>3</v>
      </c>
      <c r="Y22" s="83"/>
    </row>
    <row r="23" ht="15.6" spans="1:25">
      <c r="A23" s="89"/>
      <c r="B23" s="94" t="s">
        <v>44</v>
      </c>
      <c r="C23" s="74">
        <v>364.72</v>
      </c>
      <c r="D23" s="74">
        <v>37514.1266666666</v>
      </c>
      <c r="E23" s="74">
        <v>288.795229601225</v>
      </c>
      <c r="F23" s="74">
        <v>440.644770398774</v>
      </c>
      <c r="G23" s="75">
        <v>35.458</v>
      </c>
      <c r="H23" s="75">
        <v>0.804541666666667</v>
      </c>
      <c r="I23" s="75">
        <v>35.106390713054</v>
      </c>
      <c r="J23" s="75">
        <v>35.809609286946</v>
      </c>
      <c r="K23" s="75">
        <v>13.8156</v>
      </c>
      <c r="L23" s="75">
        <v>92.4056506666666</v>
      </c>
      <c r="M23" s="75">
        <v>10.0473879698665</v>
      </c>
      <c r="N23" s="75">
        <v>17.5838120301334</v>
      </c>
      <c r="O23" s="75">
        <v>0.7356</v>
      </c>
      <c r="P23" s="75">
        <v>3.01010899999999</v>
      </c>
      <c r="Q23" s="75">
        <v>0.055493104449014</v>
      </c>
      <c r="R23" s="95">
        <v>1.41570689555098</v>
      </c>
      <c r="V23" s="94" t="s">
        <v>44</v>
      </c>
      <c r="W23" s="74">
        <v>364.72</v>
      </c>
      <c r="X23" s="68">
        <v>2</v>
      </c>
    </row>
    <row r="24" ht="15.6" spans="1:25">
      <c r="A24" s="89"/>
      <c r="B24" s="94" t="s">
        <v>45</v>
      </c>
      <c r="C24" s="74">
        <v>383.56</v>
      </c>
      <c r="D24" s="74">
        <v>103275.423333333</v>
      </c>
      <c r="E24" s="74">
        <v>257.584944329866</v>
      </c>
      <c r="F24" s="74">
        <v>509.535055670133</v>
      </c>
      <c r="G24" s="75">
        <v>40.1027999999999</v>
      </c>
      <c r="H24" s="75">
        <v>1.35653766666666</v>
      </c>
      <c r="I24" s="75">
        <v>39.6462356518401</v>
      </c>
      <c r="J24" s="75">
        <v>40.5593643481598</v>
      </c>
      <c r="K24" s="75">
        <v>11.4084</v>
      </c>
      <c r="L24" s="75">
        <v>43.9078056666666</v>
      </c>
      <c r="M24" s="75">
        <v>8.8108917613292</v>
      </c>
      <c r="N24" s="75">
        <v>14.0059082386707</v>
      </c>
      <c r="O24" s="75">
        <v>0.9172</v>
      </c>
      <c r="P24" s="75">
        <v>6.26275433333333</v>
      </c>
      <c r="Q24" s="75">
        <v>-0.0637994301106057</v>
      </c>
      <c r="R24" s="95">
        <v>1.8981994301106</v>
      </c>
      <c r="V24" s="94" t="s">
        <v>45</v>
      </c>
      <c r="W24" s="74">
        <v>383.56</v>
      </c>
      <c r="X24" s="68">
        <v>2</v>
      </c>
    </row>
    <row r="25" ht="15.6" spans="1:25">
      <c r="A25" s="89"/>
      <c r="B25" s="94" t="s">
        <v>43</v>
      </c>
      <c r="C25" s="74">
        <v>369.36</v>
      </c>
      <c r="D25" s="74">
        <v>85102.9066666666</v>
      </c>
      <c r="E25" s="74">
        <v>255.004182264186</v>
      </c>
      <c r="F25" s="74">
        <v>483.715817735813</v>
      </c>
      <c r="G25" s="75">
        <v>38.752</v>
      </c>
      <c r="H25" s="75">
        <v>14.5675249999999</v>
      </c>
      <c r="I25" s="75">
        <v>37.255836853281</v>
      </c>
      <c r="J25" s="75">
        <v>40.2481631467189</v>
      </c>
      <c r="K25" s="75">
        <v>14.2055999999999</v>
      </c>
      <c r="L25" s="75">
        <v>54.2934756666666</v>
      </c>
      <c r="M25" s="75">
        <v>11.3171830209537</v>
      </c>
      <c r="N25" s="75">
        <v>17.0940169790462</v>
      </c>
      <c r="O25" s="75">
        <v>0.757599999999999</v>
      </c>
      <c r="P25" s="75">
        <v>3.28396899999999</v>
      </c>
      <c r="Q25" s="75">
        <v>0.0472283983604074</v>
      </c>
      <c r="R25" s="95">
        <v>1.46797160163959</v>
      </c>
      <c r="V25" s="94" t="s">
        <v>43</v>
      </c>
      <c r="W25" s="74">
        <v>369.36</v>
      </c>
      <c r="X25" s="68">
        <v>2</v>
      </c>
    </row>
    <row r="26" ht="15.6" spans="1:25">
      <c r="A26" s="89"/>
      <c r="B26" s="94" t="s">
        <v>41</v>
      </c>
      <c r="C26" s="74">
        <v>339.88</v>
      </c>
      <c r="D26" s="74">
        <v>2528.94333333333</v>
      </c>
      <c r="E26" s="74">
        <v>320.166868630952</v>
      </c>
      <c r="F26" s="74">
        <v>359.593131369047</v>
      </c>
      <c r="G26" s="75">
        <v>35.2616</v>
      </c>
      <c r="H26" s="75">
        <v>1.22473066666666</v>
      </c>
      <c r="I26" s="75">
        <v>34.8277832032266</v>
      </c>
      <c r="J26" s="75">
        <v>35.6954167967733</v>
      </c>
      <c r="K26" s="75">
        <v>12.1523999999999</v>
      </c>
      <c r="L26" s="75">
        <v>65.460694</v>
      </c>
      <c r="M26" s="75">
        <v>8.9808148942814</v>
      </c>
      <c r="N26" s="75">
        <v>15.3239851057185</v>
      </c>
      <c r="O26" s="75">
        <v>1.0868</v>
      </c>
      <c r="P26" s="75">
        <v>4.02116433333333</v>
      </c>
      <c r="Q26" s="75">
        <v>0.300728631664189</v>
      </c>
      <c r="R26" s="95">
        <v>1.87287136833581</v>
      </c>
      <c r="V26" s="94" t="s">
        <v>41</v>
      </c>
      <c r="W26" s="74">
        <v>339.88</v>
      </c>
      <c r="X26" s="68">
        <v>3</v>
      </c>
    </row>
    <row r="27" ht="15.6" spans="1:25">
      <c r="A27" s="89"/>
      <c r="B27" s="94" t="s">
        <v>81</v>
      </c>
      <c r="C27" s="74">
        <v>733.16</v>
      </c>
      <c r="D27" s="74">
        <v>29918.14</v>
      </c>
      <c r="E27" s="74">
        <v>665.356304931368</v>
      </c>
      <c r="F27" s="74">
        <v>800.963695068631</v>
      </c>
      <c r="G27" s="75">
        <v>36.7604</v>
      </c>
      <c r="H27" s="75">
        <v>2.95897066666666</v>
      </c>
      <c r="I27" s="75">
        <v>36.0860949736783</v>
      </c>
      <c r="J27" s="75">
        <v>37.4347050263216</v>
      </c>
      <c r="K27" s="75">
        <v>23.4583999999999</v>
      </c>
      <c r="L27" s="75">
        <v>47.406164</v>
      </c>
      <c r="M27" s="75">
        <v>20.7593963347753</v>
      </c>
      <c r="N27" s="75">
        <v>26.1574036652246</v>
      </c>
      <c r="O27" s="75">
        <v>1.6832</v>
      </c>
      <c r="P27" s="75">
        <v>2.694606</v>
      </c>
      <c r="Q27" s="75">
        <v>1.0397220000777</v>
      </c>
      <c r="R27" s="95">
        <v>2.32667799992229</v>
      </c>
      <c r="V27" s="94" t="s">
        <v>81</v>
      </c>
      <c r="W27" s="74">
        <v>733.16</v>
      </c>
      <c r="X27" s="68">
        <v>4</v>
      </c>
    </row>
    <row r="28" ht="15.6" spans="1:25">
      <c r="A28" s="89"/>
      <c r="B28" s="94" t="s">
        <v>35</v>
      </c>
      <c r="C28" s="74">
        <v>347.92</v>
      </c>
      <c r="D28" s="74">
        <v>1666.57666666666</v>
      </c>
      <c r="E28" s="74">
        <v>331.91709910964</v>
      </c>
      <c r="F28" s="74">
        <v>363.922900890359</v>
      </c>
      <c r="G28" s="75">
        <v>32.9776</v>
      </c>
      <c r="H28" s="75">
        <v>10.3287356666666</v>
      </c>
      <c r="I28" s="75">
        <v>31.7177766641776</v>
      </c>
      <c r="J28" s="75">
        <v>34.2374233358224</v>
      </c>
      <c r="K28" s="75">
        <v>10.6683999999999</v>
      </c>
      <c r="L28" s="75">
        <v>42.7824223333333</v>
      </c>
      <c r="M28" s="75">
        <v>8.10439568147217</v>
      </c>
      <c r="N28" s="75">
        <v>13.2324043185278</v>
      </c>
      <c r="O28" s="75">
        <v>0.148</v>
      </c>
      <c r="P28" s="75">
        <v>0.547599999999999</v>
      </c>
      <c r="Q28" s="75">
        <v>-0.142079999999999</v>
      </c>
      <c r="R28" s="95">
        <v>0.438079999999999</v>
      </c>
      <c r="V28" s="94" t="s">
        <v>35</v>
      </c>
      <c r="W28" s="74">
        <v>347.92</v>
      </c>
      <c r="X28" s="68">
        <v>3</v>
      </c>
    </row>
    <row r="29" ht="15.6" spans="1:25">
      <c r="A29" s="89"/>
      <c r="B29" s="94" t="s">
        <v>40</v>
      </c>
      <c r="C29" s="74">
        <v>345.96</v>
      </c>
      <c r="D29" s="74">
        <v>3910.70666666666</v>
      </c>
      <c r="E29" s="74">
        <v>321.446027877419</v>
      </c>
      <c r="F29" s="74">
        <v>370.47397212258</v>
      </c>
      <c r="G29" s="75">
        <v>37.5355999999999</v>
      </c>
      <c r="H29" s="75">
        <v>0.866650666666667</v>
      </c>
      <c r="I29" s="75">
        <v>37.1706712288094</v>
      </c>
      <c r="J29" s="75">
        <v>37.9005287711905</v>
      </c>
      <c r="K29" s="75">
        <v>10.6</v>
      </c>
      <c r="L29" s="75">
        <v>49.7076833333333</v>
      </c>
      <c r="M29" s="75">
        <v>7.83625589973794</v>
      </c>
      <c r="N29" s="75">
        <v>13.363744100262</v>
      </c>
      <c r="O29" s="75">
        <v>1.368</v>
      </c>
      <c r="P29" s="75">
        <v>9.35235833333333</v>
      </c>
      <c r="Q29" s="75">
        <v>0.16920027071519</v>
      </c>
      <c r="R29" s="95">
        <v>2.56679972928481</v>
      </c>
      <c r="V29" s="94" t="s">
        <v>40</v>
      </c>
      <c r="W29" s="74">
        <v>345.96</v>
      </c>
      <c r="X29" s="68">
        <v>3</v>
      </c>
    </row>
    <row r="30" ht="15.6" spans="1:25">
      <c r="A30" s="89"/>
      <c r="B30" s="94" t="s">
        <v>38</v>
      </c>
      <c r="C30" s="74">
        <v>365.16</v>
      </c>
      <c r="D30" s="74">
        <v>19451.64</v>
      </c>
      <c r="E30" s="74">
        <v>310.48809854267</v>
      </c>
      <c r="F30" s="74">
        <v>419.83190145733</v>
      </c>
      <c r="G30" s="75">
        <v>38.0159999999999</v>
      </c>
      <c r="H30" s="75">
        <v>0.255049999999999</v>
      </c>
      <c r="I30" s="75">
        <v>37.8180302972674</v>
      </c>
      <c r="J30" s="75">
        <v>38.2139697027325</v>
      </c>
      <c r="K30" s="75">
        <v>14.1727999999999</v>
      </c>
      <c r="L30" s="75">
        <v>75.4737793333333</v>
      </c>
      <c r="M30" s="75">
        <v>10.7672746620415</v>
      </c>
      <c r="N30" s="75">
        <v>17.5783253379584</v>
      </c>
      <c r="O30" s="75">
        <v>1.4364</v>
      </c>
      <c r="P30" s="75">
        <v>4.84001566666667</v>
      </c>
      <c r="Q30" s="75">
        <v>0.573998604243553</v>
      </c>
      <c r="R30" s="95">
        <v>2.29880139575644</v>
      </c>
      <c r="V30" s="94" t="s">
        <v>38</v>
      </c>
      <c r="W30" s="74">
        <v>365.16</v>
      </c>
      <c r="X30" s="68">
        <v>3</v>
      </c>
    </row>
    <row r="31" ht="15.6" spans="1:25">
      <c r="A31" s="89"/>
      <c r="B31" s="94" t="s">
        <v>51</v>
      </c>
      <c r="C31" s="74">
        <v>362.4</v>
      </c>
      <c r="D31" s="74">
        <v>17665.1666666666</v>
      </c>
      <c r="E31" s="74">
        <v>310.299134645702</v>
      </c>
      <c r="F31" s="74">
        <v>414.500865354297</v>
      </c>
      <c r="G31" s="75">
        <v>34.3587999999999</v>
      </c>
      <c r="H31" s="75">
        <v>1.52067766666666</v>
      </c>
      <c r="I31" s="75">
        <v>33.8754022207636</v>
      </c>
      <c r="J31" s="75">
        <v>34.8421977792363</v>
      </c>
      <c r="K31" s="75">
        <v>13.3084</v>
      </c>
      <c r="L31" s="75">
        <v>49.8517223333333</v>
      </c>
      <c r="M31" s="75">
        <v>10.5406545166454</v>
      </c>
      <c r="N31" s="75">
        <v>16.0761454833545</v>
      </c>
      <c r="O31" s="75">
        <v>1.718</v>
      </c>
      <c r="P31" s="75">
        <v>5.676125</v>
      </c>
      <c r="Q31" s="75">
        <v>0.784074910927006</v>
      </c>
      <c r="R31" s="95">
        <v>2.65192508907299</v>
      </c>
      <c r="V31" s="94" t="s">
        <v>51</v>
      </c>
      <c r="W31" s="74">
        <v>362.4</v>
      </c>
      <c r="X31" s="68">
        <v>2</v>
      </c>
    </row>
    <row r="32" ht="15.6" spans="1:25">
      <c r="A32" s="89"/>
      <c r="B32" s="94" t="s">
        <v>50</v>
      </c>
      <c r="C32" s="74">
        <v>326.64</v>
      </c>
      <c r="D32" s="74">
        <v>1159.82333333333</v>
      </c>
      <c r="E32" s="74">
        <v>313.289977801766</v>
      </c>
      <c r="F32" s="74">
        <v>339.990022198233</v>
      </c>
      <c r="G32" s="75">
        <v>39.8476</v>
      </c>
      <c r="H32" s="75">
        <v>1.30759399999999</v>
      </c>
      <c r="I32" s="75">
        <v>39.3993477000438</v>
      </c>
      <c r="J32" s="75">
        <v>40.2958522999561</v>
      </c>
      <c r="K32" s="75">
        <v>13.218</v>
      </c>
      <c r="L32" s="75">
        <v>60.636825</v>
      </c>
      <c r="M32" s="75">
        <v>10.1655096925952</v>
      </c>
      <c r="N32" s="75">
        <v>16.2704903074047</v>
      </c>
      <c r="O32" s="75">
        <v>0.5816</v>
      </c>
      <c r="P32" s="75">
        <v>2.59425566666666</v>
      </c>
      <c r="Q32" s="75">
        <v>-0.0497823744472653</v>
      </c>
      <c r="R32" s="95">
        <v>1.21298237444726</v>
      </c>
      <c r="V32" s="94" t="s">
        <v>50</v>
      </c>
      <c r="W32" s="74">
        <v>326.64</v>
      </c>
      <c r="X32" s="68">
        <v>2</v>
      </c>
    </row>
    <row r="33" ht="15.6" spans="1:24">
      <c r="A33" s="89"/>
      <c r="B33" s="94" t="s">
        <v>42</v>
      </c>
      <c r="C33" s="74">
        <v>341.08</v>
      </c>
      <c r="D33" s="74">
        <v>6627.99333333333</v>
      </c>
      <c r="E33" s="74">
        <v>309.166304388658</v>
      </c>
      <c r="F33" s="74">
        <v>372.993695611341</v>
      </c>
      <c r="G33" s="75">
        <v>40.794</v>
      </c>
      <c r="H33" s="75">
        <v>1.70430833333333</v>
      </c>
      <c r="I33" s="75">
        <v>40.2822472904484</v>
      </c>
      <c r="J33" s="75">
        <v>41.3057527095515</v>
      </c>
      <c r="K33" s="75">
        <v>10.9912</v>
      </c>
      <c r="L33" s="75">
        <v>39.1641943333333</v>
      </c>
      <c r="M33" s="75">
        <v>8.5380129386373</v>
      </c>
      <c r="N33" s="75">
        <v>13.4443870613626</v>
      </c>
      <c r="O33" s="75">
        <v>1.1188</v>
      </c>
      <c r="P33" s="75">
        <v>4.547061</v>
      </c>
      <c r="Q33" s="75">
        <v>0.282905520113932</v>
      </c>
      <c r="R33" s="95">
        <v>1.95469447988606</v>
      </c>
      <c r="V33" s="94" t="s">
        <v>42</v>
      </c>
      <c r="W33" s="74">
        <v>341.08</v>
      </c>
      <c r="X33" s="68">
        <v>2</v>
      </c>
    </row>
    <row r="34" s="71" customFormat="1" ht="15.6" spans="1:24">
      <c r="A34" s="96"/>
      <c r="B34" s="97" t="s">
        <v>52</v>
      </c>
      <c r="C34" s="98">
        <v>210.8</v>
      </c>
      <c r="D34" s="98">
        <v>3158.08333333333</v>
      </c>
      <c r="E34" s="98">
        <v>188.770843925984</v>
      </c>
      <c r="F34" s="98">
        <v>232.829156074015</v>
      </c>
      <c r="G34" s="99">
        <v>29.0568</v>
      </c>
      <c r="H34" s="99">
        <v>6.061681</v>
      </c>
      <c r="I34" s="99">
        <v>28.0916771325971</v>
      </c>
      <c r="J34" s="99">
        <v>30.0219228674029</v>
      </c>
      <c r="K34" s="99">
        <v>7.89959999999999</v>
      </c>
      <c r="L34" s="99">
        <v>49.7926373333333</v>
      </c>
      <c r="M34" s="99">
        <v>5.13349518940634</v>
      </c>
      <c r="N34" s="99">
        <v>10.6657048105936</v>
      </c>
      <c r="O34" s="99">
        <v>0</v>
      </c>
      <c r="P34" s="99">
        <v>0</v>
      </c>
      <c r="Q34" s="99">
        <v>0</v>
      </c>
      <c r="R34" s="100">
        <v>0</v>
      </c>
      <c r="V34" s="97" t="s">
        <v>52</v>
      </c>
      <c r="W34" s="98">
        <v>210.8</v>
      </c>
      <c r="X34" s="70">
        <v>1</v>
      </c>
    </row>
    <row r="35" spans="1:24">
      <c r="B35" s="101" t="s">
        <v>26</v>
      </c>
      <c r="C35" s="102">
        <v>8001.08</v>
      </c>
      <c r="D35" s="102">
        <v>5541151.74333333</v>
      </c>
      <c r="E35" s="102">
        <v>7078.32567652729</v>
      </c>
      <c r="F35" s="102">
        <v>8923.8343234727</v>
      </c>
      <c r="G35" s="103">
        <v>35.9857111111111</v>
      </c>
      <c r="H35" s="103">
        <v>0.0901569063786007</v>
      </c>
      <c r="I35" s="103">
        <v>35.8680086435848</v>
      </c>
      <c r="J35" s="103">
        <v>36.1034135786373</v>
      </c>
      <c r="K35" s="103">
        <v>13.1523555555555</v>
      </c>
      <c r="L35" s="103">
        <v>5.2357951718107</v>
      </c>
      <c r="M35" s="103">
        <v>12.2553866434515</v>
      </c>
      <c r="N35" s="103">
        <v>14.0493244676596</v>
      </c>
      <c r="O35" s="103">
        <v>1.50637777777777</v>
      </c>
      <c r="P35" s="103">
        <v>0.267546247942386</v>
      </c>
      <c r="Q35" s="103">
        <v>1.30361627589978</v>
      </c>
      <c r="R35" s="103">
        <v>1.70913927965576</v>
      </c>
      <c r="V35" s="101" t="s">
        <v>26</v>
      </c>
      <c r="W35" s="102">
        <v>8001.08</v>
      </c>
      <c r="X35" s="68"/>
    </row>
    <row r="37" ht="18" spans="1:24">
      <c r="A37" s="49" t="s">
        <v>2</v>
      </c>
    </row>
    <row r="38" ht="18" spans="1:24">
      <c r="A38" s="85">
        <v>1</v>
      </c>
      <c r="B38" s="82" t="s">
        <v>3</v>
      </c>
      <c r="C38" s="55" t="s">
        <v>54</v>
      </c>
      <c r="D38" s="55" t="s">
        <v>55</v>
      </c>
      <c r="E38" s="55" t="s">
        <v>56</v>
      </c>
      <c r="F38" s="55" t="s">
        <v>57</v>
      </c>
      <c r="J38" s="73" t="s">
        <v>58</v>
      </c>
      <c r="K38" s="73"/>
    </row>
    <row r="39" ht="15.6" spans="1:24">
      <c r="A39" s="89"/>
      <c r="B39" s="86" t="s">
        <v>74</v>
      </c>
      <c r="C39" s="74">
        <f t="shared" ref="C39:C43" si="2">C5-E5</f>
        <v>132.71975749064</v>
      </c>
      <c r="D39" s="75">
        <f t="shared" ref="D39:D43" si="3">G5-I5</f>
        <v>0.314553071744697</v>
      </c>
      <c r="E39" s="75">
        <f t="shared" ref="E39:E43" si="4">K5-M5</f>
        <v>1.1961357846488</v>
      </c>
      <c r="F39" s="75">
        <f t="shared" ref="F39:F43" si="5">O5-Q5</f>
        <v>0.52032528199451</v>
      </c>
      <c r="J39" s="76" t="s">
        <v>60</v>
      </c>
      <c r="K39" s="74">
        <f>AVERAGE(C8,C16,C35)</f>
        <v>6758.81333333333</v>
      </c>
    </row>
    <row r="40" ht="15.6" spans="1:24">
      <c r="A40" s="89"/>
      <c r="B40" s="86" t="s">
        <v>75</v>
      </c>
      <c r="C40" s="74">
        <f t="shared" si="2"/>
        <v>59.78696991062</v>
      </c>
      <c r="D40" s="75">
        <f t="shared" si="3"/>
        <v>0.312344885005899</v>
      </c>
      <c r="E40" s="75">
        <f t="shared" si="4"/>
        <v>2.1732221210581</v>
      </c>
      <c r="F40" s="75">
        <f t="shared" si="5"/>
        <v>0.827702685751342</v>
      </c>
      <c r="J40" s="76" t="s">
        <v>61</v>
      </c>
      <c r="K40" s="74">
        <f>VARP(C8,C16,C35)</f>
        <v>4222757.94062222</v>
      </c>
    </row>
    <row r="41" ht="15.6" spans="1:24">
      <c r="A41" s="90"/>
      <c r="B41" s="86" t="s">
        <v>76</v>
      </c>
      <c r="C41" s="74">
        <f t="shared" si="2"/>
        <v>110.237469806475</v>
      </c>
      <c r="D41" s="75">
        <f t="shared" si="3"/>
        <v>1.13470442805639</v>
      </c>
      <c r="E41" s="75">
        <f t="shared" si="4"/>
        <v>1.9807325560246</v>
      </c>
      <c r="F41" s="75">
        <f t="shared" si="5"/>
        <v>0.502984933966549</v>
      </c>
      <c r="J41" s="76" t="s">
        <v>63</v>
      </c>
      <c r="K41" s="74">
        <f>SQRT(K40)/SQRT(3)*3.182</f>
        <v>3775.17980899739</v>
      </c>
    </row>
    <row r="42" ht="15.6" spans="1:24">
      <c r="A42" s="89">
        <v>2</v>
      </c>
      <c r="B42" s="91" t="s">
        <v>26</v>
      </c>
      <c r="C42" s="77">
        <f t="shared" si="2"/>
        <v>183.35441483757</v>
      </c>
      <c r="D42" s="78">
        <f t="shared" si="3"/>
        <v>0.304742924171002</v>
      </c>
      <c r="E42" s="78">
        <f t="shared" si="4"/>
        <v>0.774416927733499</v>
      </c>
      <c r="F42" s="78">
        <f t="shared" si="5"/>
        <v>0.36909302875342</v>
      </c>
      <c r="J42" s="76" t="s">
        <v>65</v>
      </c>
      <c r="K42" s="75">
        <f>AVERAGE(G8,G16,G35)</f>
        <v>33.9059481481481</v>
      </c>
    </row>
    <row r="43" ht="15.6" spans="1:24">
      <c r="A43" s="89"/>
      <c r="B43" s="86" t="s">
        <v>77</v>
      </c>
      <c r="C43" s="74">
        <f t="shared" si="2"/>
        <v>565.808828168407</v>
      </c>
      <c r="D43" s="75">
        <f t="shared" si="3"/>
        <v>0.261442449886601</v>
      </c>
      <c r="E43" s="75">
        <f t="shared" si="4"/>
        <v>1.06807944420628</v>
      </c>
      <c r="F43" s="75">
        <f t="shared" si="5"/>
        <v>0.652109800979351</v>
      </c>
      <c r="J43" s="76" t="s">
        <v>66</v>
      </c>
      <c r="K43" s="75">
        <f>VARP(G8,G16,G35)</f>
        <v>3.05411150957479</v>
      </c>
    </row>
    <row r="44" ht="15.6" spans="1:24">
      <c r="A44" s="89"/>
      <c r="B44" s="86" t="s">
        <v>78</v>
      </c>
      <c r="C44" s="74">
        <f t="shared" ref="C44:C70" si="6">C10-E10</f>
        <v>59.267185097995</v>
      </c>
      <c r="D44" s="75">
        <f t="shared" ref="D44:D70" si="7">G10-I10</f>
        <v>0.423750005545799</v>
      </c>
      <c r="E44" s="75">
        <f t="shared" ref="E44:E70" si="8">K10-M10</f>
        <v>2.6230470886611</v>
      </c>
      <c r="F44" s="75">
        <f t="shared" ref="F44:F70" si="9">O10-Q10</f>
        <v>0.48330330573392</v>
      </c>
      <c r="J44" s="76" t="s">
        <v>67</v>
      </c>
      <c r="K44" s="75">
        <f>SQRT(K43)/SQRT(3)*3.182</f>
        <v>3.21056888750639</v>
      </c>
    </row>
    <row r="45" ht="15.6" spans="1:24">
      <c r="A45" s="89"/>
      <c r="B45" s="86" t="s">
        <v>79</v>
      </c>
      <c r="C45" s="74">
        <f>C11-E11</f>
        <v>69.4860858578637</v>
      </c>
      <c r="D45" s="75">
        <f t="shared" si="7"/>
        <v>0.424116223366504</v>
      </c>
      <c r="E45" s="75">
        <f t="shared" si="8"/>
        <v>1.5822404275591</v>
      </c>
      <c r="F45" s="75">
        <f t="shared" si="9"/>
        <v>0.406735530335541</v>
      </c>
      <c r="J45" s="76" t="s">
        <v>68</v>
      </c>
      <c r="K45" s="75">
        <f>AVERAGE(K8,K16,K35)</f>
        <v>13.6907216931216</v>
      </c>
    </row>
    <row r="46" ht="15.6" spans="1:24">
      <c r="A46" s="89"/>
      <c r="B46" s="86" t="s">
        <v>33</v>
      </c>
      <c r="C46" s="74">
        <f t="shared" si="6"/>
        <v>69.9317382520298</v>
      </c>
      <c r="D46" s="75">
        <f t="shared" si="7"/>
        <v>0.431611107055204</v>
      </c>
      <c r="E46" s="75">
        <f t="shared" si="8"/>
        <v>1.5334098883869</v>
      </c>
      <c r="F46" s="75">
        <f t="shared" si="9"/>
        <v>0.599972743967591</v>
      </c>
      <c r="J46" s="76" t="s">
        <v>69</v>
      </c>
      <c r="K46" s="75">
        <f>VARP(K8,K16,K35)</f>
        <v>0.306270059530243</v>
      </c>
    </row>
    <row r="47" ht="15.6" spans="1:24">
      <c r="A47" s="89"/>
      <c r="B47" s="86" t="s">
        <v>80</v>
      </c>
      <c r="C47" s="74">
        <f t="shared" si="6"/>
        <v>31.5127276174945</v>
      </c>
      <c r="D47" s="75">
        <f t="shared" si="7"/>
        <v>0.383305850432798</v>
      </c>
      <c r="E47" s="75">
        <f t="shared" si="8"/>
        <v>1.59556274810354</v>
      </c>
      <c r="F47" s="75">
        <f t="shared" si="9"/>
        <v>0.519608926030593</v>
      </c>
      <c r="J47" s="76" t="s">
        <v>70</v>
      </c>
      <c r="K47" s="75">
        <f>SQRT(K46)/SQRT(3)*3.182</f>
        <v>1.01669764929257</v>
      </c>
    </row>
    <row r="48" ht="15.6" spans="1:24">
      <c r="A48" s="89"/>
      <c r="B48" s="86" t="s">
        <v>30</v>
      </c>
      <c r="C48" s="74">
        <f t="shared" si="6"/>
        <v>8.47526845205505</v>
      </c>
      <c r="D48" s="75">
        <f t="shared" si="7"/>
        <v>1.0705769990979</v>
      </c>
      <c r="E48" s="75">
        <f t="shared" si="8"/>
        <v>1.7348328663276</v>
      </c>
      <c r="F48" s="75">
        <f t="shared" si="9"/>
        <v>0.463506752014107</v>
      </c>
      <c r="J48" s="76" t="s">
        <v>71</v>
      </c>
      <c r="K48" s="75">
        <f>AVERAGE(O8,O16,O35)</f>
        <v>2.41937037037036</v>
      </c>
    </row>
    <row r="49" ht="15.6" spans="1:11">
      <c r="A49" s="89"/>
      <c r="B49" s="86" t="s">
        <v>31</v>
      </c>
      <c r="C49" s="74">
        <f t="shared" si="6"/>
        <v>10.4451634740678</v>
      </c>
      <c r="D49" s="75">
        <f t="shared" si="7"/>
        <v>1.1218858517051</v>
      </c>
      <c r="E49" s="75">
        <f t="shared" si="8"/>
        <v>1.21784306244113</v>
      </c>
      <c r="F49" s="75">
        <f t="shared" si="9"/>
        <v>0.399910963637324</v>
      </c>
      <c r="J49" s="76" t="s">
        <v>17</v>
      </c>
      <c r="K49" s="75">
        <f>VARP(O8,O16,O35)</f>
        <v>0.831441144471883</v>
      </c>
    </row>
    <row r="50" ht="15.6" spans="1:11">
      <c r="A50" s="89"/>
      <c r="B50" s="91" t="s">
        <v>26</v>
      </c>
      <c r="C50" s="74">
        <f t="shared" si="6"/>
        <v>572.27225008112</v>
      </c>
      <c r="D50" s="75">
        <f t="shared" si="7"/>
        <v>0.497591059019399</v>
      </c>
      <c r="E50" s="75">
        <f t="shared" si="8"/>
        <v>0.6166435170804</v>
      </c>
      <c r="F50" s="75">
        <f t="shared" si="9"/>
        <v>0.1893495371282</v>
      </c>
      <c r="J50" s="76" t="s">
        <v>72</v>
      </c>
      <c r="K50" s="75">
        <f>SQRT(K49)/SQRT(3)*3.182</f>
        <v>1.67515618042814</v>
      </c>
    </row>
    <row r="51" ht="15.6" spans="1:11">
      <c r="A51" s="85">
        <v>3</v>
      </c>
      <c r="B51" s="94" t="s">
        <v>36</v>
      </c>
      <c r="C51" s="77">
        <f t="shared" si="6"/>
        <v>240.09491407947</v>
      </c>
      <c r="D51" s="78">
        <f t="shared" si="7"/>
        <v>0.155428041193801</v>
      </c>
      <c r="E51" s="78">
        <f t="shared" si="8"/>
        <v>1.943668203921</v>
      </c>
      <c r="F51" s="78">
        <f t="shared" si="9"/>
        <v>0.666585098215281</v>
      </c>
    </row>
    <row r="52" ht="15.6" spans="1:11">
      <c r="A52" s="89"/>
      <c r="B52" s="94" t="s">
        <v>53</v>
      </c>
      <c r="C52" s="74">
        <f t="shared" si="6"/>
        <v>40.356160433157</v>
      </c>
      <c r="D52" s="75">
        <f t="shared" si="7"/>
        <v>0.152170576218403</v>
      </c>
      <c r="E52" s="75">
        <f t="shared" si="8"/>
        <v>2.4383943792499</v>
      </c>
      <c r="F52" s="75">
        <f t="shared" si="9"/>
        <v>0.652638719014842</v>
      </c>
    </row>
    <row r="53" ht="15.6" spans="1:11">
      <c r="A53" s="89"/>
      <c r="B53" s="94" t="s">
        <v>37</v>
      </c>
      <c r="C53" s="74">
        <f t="shared" si="6"/>
        <v>146.500090411804</v>
      </c>
      <c r="D53" s="75">
        <f t="shared" si="7"/>
        <v>0.148357025224101</v>
      </c>
      <c r="E53" s="75">
        <f t="shared" si="8"/>
        <v>1.8996121140795</v>
      </c>
      <c r="F53" s="75">
        <f t="shared" si="9"/>
        <v>0.84048889328375</v>
      </c>
    </row>
    <row r="54" ht="15.6" spans="1:11">
      <c r="A54" s="89"/>
      <c r="B54" s="94" t="s">
        <v>49</v>
      </c>
      <c r="C54" s="74">
        <f t="shared" si="6"/>
        <v>54.615776606155</v>
      </c>
      <c r="D54" s="75">
        <f t="shared" si="7"/>
        <v>0.331898631978703</v>
      </c>
      <c r="E54" s="75">
        <f t="shared" si="8"/>
        <v>3.1231683577393</v>
      </c>
      <c r="F54" s="75">
        <f t="shared" si="9"/>
        <v>1.01197199829507</v>
      </c>
    </row>
    <row r="55" ht="15.6" spans="1:11">
      <c r="A55" s="89"/>
      <c r="B55" s="94" t="s">
        <v>46</v>
      </c>
      <c r="C55" s="74">
        <f t="shared" si="6"/>
        <v>45.19502739137</v>
      </c>
      <c r="D55" s="75">
        <f t="shared" si="7"/>
        <v>0.335887200176899</v>
      </c>
      <c r="E55" s="75">
        <f t="shared" si="8"/>
        <v>2.5741685998261</v>
      </c>
      <c r="F55" s="75">
        <f t="shared" si="9"/>
        <v>1.19981443358102</v>
      </c>
    </row>
    <row r="56" ht="15.6" spans="1:11">
      <c r="A56" s="89"/>
      <c r="B56" s="94" t="s">
        <v>39</v>
      </c>
      <c r="C56" s="74">
        <f t="shared" si="6"/>
        <v>31.299401952114</v>
      </c>
      <c r="D56" s="75">
        <f t="shared" si="7"/>
        <v>0.336100473866502</v>
      </c>
      <c r="E56" s="75">
        <f t="shared" si="8"/>
        <v>3.2649113417263</v>
      </c>
      <c r="F56" s="75">
        <f t="shared" si="9"/>
        <v>1.18772890696376</v>
      </c>
    </row>
    <row r="57" ht="15.6" spans="1:11">
      <c r="A57" s="89"/>
      <c r="B57" s="94" t="s">
        <v>44</v>
      </c>
      <c r="C57" s="74">
        <f t="shared" si="6"/>
        <v>75.924770398775</v>
      </c>
      <c r="D57" s="75">
        <f t="shared" si="7"/>
        <v>0.351609286946001</v>
      </c>
      <c r="E57" s="75">
        <f t="shared" si="8"/>
        <v>3.7682120301335</v>
      </c>
      <c r="F57" s="75">
        <f t="shared" si="9"/>
        <v>0.680106895550986</v>
      </c>
    </row>
    <row r="58" ht="15.6" spans="1:11">
      <c r="A58" s="89"/>
      <c r="B58" s="94" t="s">
        <v>45</v>
      </c>
      <c r="C58" s="74">
        <f t="shared" si="6"/>
        <v>125.975055670134</v>
      </c>
      <c r="D58" s="75">
        <f t="shared" si="7"/>
        <v>0.456564348159802</v>
      </c>
      <c r="E58" s="75">
        <f t="shared" si="8"/>
        <v>2.5975082386708</v>
      </c>
      <c r="F58" s="75">
        <f t="shared" si="9"/>
        <v>0.980999430110606</v>
      </c>
    </row>
    <row r="59" ht="15.6" spans="1:11">
      <c r="A59" s="89"/>
      <c r="B59" s="94" t="s">
        <v>43</v>
      </c>
      <c r="C59" s="74">
        <f t="shared" si="6"/>
        <v>114.355817735814</v>
      </c>
      <c r="D59" s="75">
        <f t="shared" si="7"/>
        <v>1.49616314671901</v>
      </c>
      <c r="E59" s="75">
        <f t="shared" si="8"/>
        <v>2.8884169790462</v>
      </c>
      <c r="F59" s="75">
        <f t="shared" si="9"/>
        <v>0.710371601639592</v>
      </c>
    </row>
    <row r="60" ht="15.6" spans="1:11">
      <c r="A60" s="89"/>
      <c r="B60" s="94" t="s">
        <v>41</v>
      </c>
      <c r="C60" s="74">
        <f t="shared" si="6"/>
        <v>19.713131369048</v>
      </c>
      <c r="D60" s="75">
        <f t="shared" si="7"/>
        <v>0.433816796773399</v>
      </c>
      <c r="E60" s="75">
        <f t="shared" si="8"/>
        <v>3.1715851057185</v>
      </c>
      <c r="F60" s="75">
        <f t="shared" si="9"/>
        <v>0.786071368335811</v>
      </c>
    </row>
    <row r="61" ht="15.6" spans="1:11">
      <c r="A61" s="89"/>
      <c r="B61" s="94" t="s">
        <v>81</v>
      </c>
      <c r="C61" s="74">
        <f t="shared" si="6"/>
        <v>67.803695068632</v>
      </c>
      <c r="D61" s="75">
        <f t="shared" si="7"/>
        <v>0.674305026321697</v>
      </c>
      <c r="E61" s="75">
        <f t="shared" si="8"/>
        <v>2.6990036652246</v>
      </c>
      <c r="F61" s="75">
        <f t="shared" si="9"/>
        <v>0.6434779999223</v>
      </c>
    </row>
    <row r="62" ht="15.6" spans="1:11">
      <c r="A62" s="89"/>
      <c r="B62" s="94" t="s">
        <v>35</v>
      </c>
      <c r="C62" s="74">
        <f t="shared" si="6"/>
        <v>16.00290089036</v>
      </c>
      <c r="D62" s="75">
        <f t="shared" si="7"/>
        <v>1.2598233358224</v>
      </c>
      <c r="E62" s="75">
        <f t="shared" si="8"/>
        <v>2.56400431852773</v>
      </c>
      <c r="F62" s="75">
        <f t="shared" si="9"/>
        <v>0.290079999999999</v>
      </c>
    </row>
    <row r="63" ht="15.6" spans="1:11">
      <c r="A63" s="89"/>
      <c r="B63" s="94" t="s">
        <v>40</v>
      </c>
      <c r="C63" s="74">
        <f t="shared" si="6"/>
        <v>24.513972122581</v>
      </c>
      <c r="D63" s="75">
        <f t="shared" si="7"/>
        <v>0.364928771190506</v>
      </c>
      <c r="E63" s="75">
        <f t="shared" si="8"/>
        <v>2.76374410026206</v>
      </c>
      <c r="F63" s="75">
        <f t="shared" si="9"/>
        <v>1.19879972928481</v>
      </c>
    </row>
    <row r="64" ht="15.6" spans="1:11">
      <c r="A64" s="89"/>
      <c r="B64" s="94" t="s">
        <v>38</v>
      </c>
      <c r="C64" s="74">
        <f t="shared" si="6"/>
        <v>54.67190145733</v>
      </c>
      <c r="D64" s="75">
        <f t="shared" si="7"/>
        <v>0.1979697027325</v>
      </c>
      <c r="E64" s="75">
        <f t="shared" si="8"/>
        <v>3.4055253379584</v>
      </c>
      <c r="F64" s="75">
        <f t="shared" si="9"/>
        <v>0.862401395756447</v>
      </c>
    </row>
    <row r="65" ht="15.6" spans="1:6">
      <c r="A65" s="89"/>
      <c r="B65" s="94" t="s">
        <v>51</v>
      </c>
      <c r="C65" s="74">
        <f t="shared" si="6"/>
        <v>52.100865354298</v>
      </c>
      <c r="D65" s="75">
        <f t="shared" si="7"/>
        <v>0.483397779236306</v>
      </c>
      <c r="E65" s="75">
        <f t="shared" si="8"/>
        <v>2.7677454833546</v>
      </c>
      <c r="F65" s="75">
        <f t="shared" si="9"/>
        <v>0.933925089072994</v>
      </c>
    </row>
    <row r="66" ht="15.6" spans="1:6">
      <c r="A66" s="89"/>
      <c r="B66" s="94" t="s">
        <v>50</v>
      </c>
      <c r="C66" s="74">
        <f t="shared" si="6"/>
        <v>13.350022198234</v>
      </c>
      <c r="D66" s="75">
        <f t="shared" si="7"/>
        <v>0.448252299956202</v>
      </c>
      <c r="E66" s="75">
        <f t="shared" si="8"/>
        <v>3.0524903074048</v>
      </c>
      <c r="F66" s="75">
        <f t="shared" si="9"/>
        <v>0.631382374447265</v>
      </c>
    </row>
    <row r="67" ht="15.6" spans="1:6">
      <c r="A67" s="89"/>
      <c r="B67" s="94" t="s">
        <v>42</v>
      </c>
      <c r="C67" s="74">
        <f t="shared" si="6"/>
        <v>31.913695611342</v>
      </c>
      <c r="D67" s="75">
        <f t="shared" si="7"/>
        <v>0.511752709551594</v>
      </c>
      <c r="E67" s="75">
        <f t="shared" si="8"/>
        <v>2.4531870613627</v>
      </c>
      <c r="F67" s="75">
        <f t="shared" si="9"/>
        <v>0.835894479886068</v>
      </c>
    </row>
    <row r="68" ht="15.6" spans="1:6">
      <c r="A68" s="89"/>
      <c r="B68" s="97" t="s">
        <v>52</v>
      </c>
      <c r="C68" s="74">
        <f t="shared" si="6"/>
        <v>22.029156074016</v>
      </c>
      <c r="D68" s="75">
        <f t="shared" si="7"/>
        <v>0.965122867402901</v>
      </c>
      <c r="E68" s="75">
        <f t="shared" si="8"/>
        <v>2.76610481059365</v>
      </c>
      <c r="F68" s="75">
        <f t="shared" si="9"/>
        <v>0</v>
      </c>
    </row>
    <row r="69" spans="1:6">
      <c r="A69" s="90"/>
      <c r="B69" s="101" t="s">
        <v>26</v>
      </c>
      <c r="C69" s="74">
        <f t="shared" si="6"/>
        <v>922.75432347271</v>
      </c>
      <c r="D69" s="75">
        <f t="shared" si="7"/>
        <v>0.1177024675263</v>
      </c>
      <c r="E69" s="75">
        <f t="shared" si="8"/>
        <v>0.896968912104001</v>
      </c>
      <c r="F69" s="75">
        <f t="shared" si="9"/>
        <v>0.20276150187799</v>
      </c>
    </row>
    <row r="70" spans="1:6">
      <c r="B70" s="104"/>
      <c r="C70" s="44"/>
      <c r="D70" s="44"/>
      <c r="E70" s="44"/>
      <c r="F70" s="44"/>
    </row>
  </sheetData>
  <sortState ref="B15:R32">
    <sortCondition ref="B15:B32"/>
  </sortState>
  <mergeCells count="9">
    <mergeCell ref="Z3:AA3"/>
    <mergeCell ref="J38:K38"/>
    <mergeCell ref="A5:A8"/>
    <mergeCell ref="A9:A16"/>
    <mergeCell ref="A17:A34"/>
    <mergeCell ref="A38:A41"/>
    <mergeCell ref="A42:A50"/>
    <mergeCell ref="A51:A69"/>
    <mergeCell ref="A1:R3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O105"/>
  <sheetViews>
    <sheetView zoomScale="76" zoomScaleNormal="76" topLeftCell="A56" workbookViewId="0">
      <selection activeCell="K59" sqref="K59"/>
    </sheetView>
  </sheetViews>
  <sheetFormatPr defaultColWidth="8.88888888888889" defaultRowHeight="15.6"/>
  <cols>
    <col min="1" max="1" width="16.25" style="44" customWidth="1"/>
    <col min="2" max="2" width="71.037037037037" style="45" customWidth="1"/>
    <col min="3" max="3" width="23.1111111111111" style="46" customWidth="1"/>
    <col min="4" max="4" width="29.8888888888889" style="46" customWidth="1"/>
    <col min="5" max="5" width="32.6666666666667" style="46" customWidth="1"/>
    <col min="6" max="6" width="31.5555555555556" style="46" customWidth="1"/>
    <col min="7" max="7" width="31.8888888888889" style="46" customWidth="1"/>
    <col min="8" max="8" width="21.2222222222222" style="42" customWidth="1"/>
    <col min="9" max="9" width="21.2222222222222" style="46" customWidth="1"/>
    <col min="10" max="10" width="23.5555555555556" style="46" customWidth="1"/>
    <col min="11" max="11" width="21.2222222222222" style="46" customWidth="1"/>
    <col min="12" max="12" width="27.7777777777778" style="46" customWidth="1"/>
    <col min="13" max="13" width="27" style="46" customWidth="1"/>
    <col min="14" max="14" width="29.4444444444444" style="46" customWidth="1"/>
    <col min="15" max="15" width="29.7777777777778" style="46" customWidth="1"/>
    <col min="16" max="16" width="31" style="46" customWidth="1"/>
    <col min="17" max="17" width="30.2222222222222" style="46" customWidth="1"/>
    <col min="18" max="18" width="32.6666666666667" style="46" customWidth="1"/>
    <col min="19" max="19" width="33" style="43" customWidth="1"/>
    <col min="20" max="20" width="5.5462962962963" style="43" customWidth="1"/>
    <col min="21" max="21" width="8.88888888888889" style="43" hidden="1" customWidth="1"/>
    <col min="22" max="22" width="68.9259259259259" style="43" customWidth="1"/>
    <col min="23" max="23" width="30.8611111111111" style="43" customWidth="1"/>
    <col min="24" max="24" width="29.4166666666667" style="43" customWidth="1"/>
    <col min="25" max="25" width="11.8425925925926" customWidth="1"/>
    <col min="26" max="26" width="8.88888888888889" style="43"/>
    <col min="27" max="27" width="21.7777777777778" style="43" customWidth="1"/>
    <col min="28" max="117" width="8.88888888888889" style="43"/>
    <col min="118" max="16384" width="8.88888888888889" style="44"/>
  </cols>
  <sheetData>
    <row r="1" spans="1:117">
      <c r="A1" s="47" t="s">
        <v>82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</row>
    <row r="2" spans="1:117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</row>
    <row r="3" spans="1:117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Z3" s="48" t="s">
        <v>1</v>
      </c>
      <c r="AA3" s="48"/>
    </row>
    <row r="4" s="41" customFormat="1" ht="18" spans="1:117">
      <c r="A4" s="49" t="s">
        <v>2</v>
      </c>
      <c r="B4" s="50" t="s">
        <v>3</v>
      </c>
      <c r="C4" s="51" t="s">
        <v>4</v>
      </c>
      <c r="D4" s="51" t="s">
        <v>5</v>
      </c>
      <c r="E4" s="51" t="s">
        <v>6</v>
      </c>
      <c r="F4" s="51" t="s">
        <v>7</v>
      </c>
      <c r="G4" s="51" t="s">
        <v>8</v>
      </c>
      <c r="H4" s="51" t="s">
        <v>9</v>
      </c>
      <c r="I4" s="51" t="s">
        <v>10</v>
      </c>
      <c r="J4" s="51" t="s">
        <v>11</v>
      </c>
      <c r="K4" s="51" t="s">
        <v>12</v>
      </c>
      <c r="L4" s="51" t="s">
        <v>13</v>
      </c>
      <c r="M4" s="51" t="s">
        <v>14</v>
      </c>
      <c r="N4" s="51" t="s">
        <v>15</v>
      </c>
      <c r="O4" s="51" t="s">
        <v>16</v>
      </c>
      <c r="P4" s="51" t="s">
        <v>17</v>
      </c>
      <c r="Q4" s="52" t="s">
        <v>18</v>
      </c>
      <c r="R4" s="53" t="s">
        <v>19</v>
      </c>
      <c r="T4" s="54"/>
      <c r="U4" s="54"/>
      <c r="V4" s="50" t="s">
        <v>3</v>
      </c>
      <c r="W4" s="51" t="s">
        <v>4</v>
      </c>
      <c r="X4" s="55" t="s">
        <v>20</v>
      </c>
      <c r="Y4"/>
      <c r="Z4" s="56" t="s">
        <v>21</v>
      </c>
      <c r="AA4" s="56" t="s">
        <v>22</v>
      </c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  <c r="BD4" s="54"/>
      <c r="BE4" s="54"/>
      <c r="BF4" s="54"/>
      <c r="BG4" s="54"/>
      <c r="BH4" s="54"/>
      <c r="BI4" s="54"/>
      <c r="BJ4" s="54"/>
      <c r="BK4" s="54"/>
      <c r="BL4" s="54"/>
      <c r="BM4" s="54"/>
      <c r="BN4" s="54"/>
      <c r="BO4" s="54"/>
      <c r="BP4" s="54"/>
      <c r="BQ4" s="54"/>
      <c r="BR4" s="54"/>
      <c r="BS4" s="54"/>
      <c r="BT4" s="54"/>
      <c r="BU4" s="54"/>
      <c r="BV4" s="54"/>
      <c r="BW4" s="54"/>
      <c r="BX4" s="54"/>
      <c r="BY4" s="54"/>
      <c r="BZ4" s="54"/>
      <c r="CA4" s="54"/>
      <c r="CB4" s="54"/>
      <c r="CC4" s="54"/>
      <c r="CD4" s="54"/>
      <c r="CE4" s="54"/>
      <c r="CF4" s="54"/>
      <c r="CG4" s="54"/>
      <c r="CH4" s="54"/>
      <c r="CI4" s="54"/>
      <c r="CJ4" s="54"/>
      <c r="CK4" s="54"/>
      <c r="CL4" s="54"/>
      <c r="CM4" s="54"/>
      <c r="CN4" s="54"/>
      <c r="CO4" s="54"/>
      <c r="CP4" s="54"/>
      <c r="CQ4" s="54"/>
      <c r="CR4" s="54"/>
      <c r="CS4" s="54"/>
      <c r="CT4" s="54"/>
      <c r="CU4" s="54"/>
      <c r="CV4" s="54"/>
      <c r="CW4" s="54"/>
      <c r="CX4" s="54"/>
      <c r="CY4" s="54"/>
      <c r="CZ4" s="54"/>
      <c r="DA4" s="54"/>
      <c r="DB4" s="54"/>
      <c r="DC4" s="54"/>
      <c r="DD4" s="54"/>
      <c r="DE4" s="54"/>
      <c r="DF4" s="54"/>
      <c r="DG4" s="54"/>
      <c r="DH4" s="54"/>
      <c r="DI4" s="54"/>
      <c r="DJ4" s="54"/>
      <c r="DK4" s="54"/>
      <c r="DL4" s="54"/>
      <c r="DM4" s="54"/>
    </row>
    <row r="5" ht="17.4" spans="1:117">
      <c r="A5" s="57">
        <v>1</v>
      </c>
      <c r="B5" s="58" t="s">
        <v>83</v>
      </c>
      <c r="C5" s="59">
        <v>1731.08</v>
      </c>
      <c r="D5" s="59">
        <v>81955.9099999999</v>
      </c>
      <c r="E5" s="59">
        <v>1618.85846483744</v>
      </c>
      <c r="F5" s="59">
        <v>1843.30153516255</v>
      </c>
      <c r="G5" s="59">
        <v>631.32796875</v>
      </c>
      <c r="H5" s="60">
        <v>369.602590535481</v>
      </c>
      <c r="I5" s="59">
        <v>623.791748711277</v>
      </c>
      <c r="J5" s="59">
        <v>638.864188788722</v>
      </c>
      <c r="K5" s="59">
        <v>386.7532</v>
      </c>
      <c r="L5" s="59">
        <v>3477.49541433333</v>
      </c>
      <c r="M5" s="59">
        <v>363.636845284169</v>
      </c>
      <c r="N5" s="59">
        <v>409.86955471583</v>
      </c>
      <c r="O5" s="59">
        <v>114.5984</v>
      </c>
      <c r="P5" s="59">
        <v>6900.08269733333</v>
      </c>
      <c r="Q5" s="59">
        <v>82.036239328401</v>
      </c>
      <c r="R5" s="61">
        <v>147.160560671599</v>
      </c>
      <c r="V5" s="58" t="s">
        <v>83</v>
      </c>
      <c r="W5" s="59">
        <v>1731.08</v>
      </c>
      <c r="X5" s="62">
        <v>2</v>
      </c>
      <c r="Y5"/>
      <c r="Z5" s="63">
        <v>1</v>
      </c>
      <c r="AA5" s="62">
        <f>AVERAGEIF($X$5:$X$52,1,W5:W52)</f>
        <v>601.672</v>
      </c>
    </row>
    <row r="6" ht="17.4" spans="1:117">
      <c r="A6" s="57"/>
      <c r="B6" s="58" t="s">
        <v>84</v>
      </c>
      <c r="C6" s="59">
        <v>1866.92</v>
      </c>
      <c r="D6" s="59">
        <v>16384.41</v>
      </c>
      <c r="E6" s="59">
        <v>1816.74337219142</v>
      </c>
      <c r="F6" s="59">
        <v>1917.09662780857</v>
      </c>
      <c r="G6" s="59">
        <v>627.92875</v>
      </c>
      <c r="H6" s="60">
        <v>88.8821223958333</v>
      </c>
      <c r="I6" s="59">
        <v>624.233079227889</v>
      </c>
      <c r="J6" s="59">
        <v>631.62442077211</v>
      </c>
      <c r="K6" s="59">
        <v>356.322</v>
      </c>
      <c r="L6" s="59">
        <v>904.063233333334</v>
      </c>
      <c r="M6" s="59">
        <v>344.535483437124</v>
      </c>
      <c r="N6" s="59">
        <v>368.108516562875</v>
      </c>
      <c r="O6" s="59">
        <v>149.022</v>
      </c>
      <c r="P6" s="59">
        <v>5625.345325</v>
      </c>
      <c r="Q6" s="59">
        <v>119.621097564516</v>
      </c>
      <c r="R6" s="61">
        <v>178.422902435483</v>
      </c>
      <c r="V6" s="58" t="s">
        <v>84</v>
      </c>
      <c r="W6" s="59">
        <v>1866.92</v>
      </c>
      <c r="X6" s="62">
        <v>3</v>
      </c>
      <c r="Y6"/>
      <c r="Z6" s="63">
        <v>2</v>
      </c>
      <c r="AA6" s="62">
        <f>AVERAGEIF($X$5:$X$52,2,$W$5:$W$52)</f>
        <v>2192.816</v>
      </c>
    </row>
    <row r="7" ht="17.4" spans="1:117">
      <c r="A7" s="57"/>
      <c r="B7" s="58" t="s">
        <v>85</v>
      </c>
      <c r="C7" s="59">
        <v>2394.64</v>
      </c>
      <c r="D7" s="59">
        <v>53193.7399999999</v>
      </c>
      <c r="E7" s="59">
        <v>2304.23002896051</v>
      </c>
      <c r="F7" s="59">
        <v>2485.04997103948</v>
      </c>
      <c r="G7" s="59">
        <v>629.025</v>
      </c>
      <c r="H7" s="60">
        <v>141.920794169108</v>
      </c>
      <c r="I7" s="59">
        <v>624.355083842808</v>
      </c>
      <c r="J7" s="59">
        <v>633.694916157191</v>
      </c>
      <c r="K7" s="59">
        <v>281.697199999999</v>
      </c>
      <c r="L7" s="59">
        <v>725.515054333333</v>
      </c>
      <c r="M7" s="59">
        <v>271.138528430665</v>
      </c>
      <c r="N7" s="59">
        <v>292.255871569334</v>
      </c>
      <c r="O7" s="59">
        <v>127.864</v>
      </c>
      <c r="P7" s="59">
        <v>3402.581175</v>
      </c>
      <c r="Q7" s="59">
        <v>104.997993928208</v>
      </c>
      <c r="R7" s="61">
        <v>150.730006071791</v>
      </c>
      <c r="V7" s="58" t="s">
        <v>85</v>
      </c>
      <c r="W7" s="59">
        <v>2394.64</v>
      </c>
      <c r="X7" s="62">
        <v>3</v>
      </c>
      <c r="Y7"/>
      <c r="Z7" s="63">
        <v>3</v>
      </c>
      <c r="AA7" s="62">
        <f>AVERAGEIF($X$5:$X$52,3,$W$5:$W$52)</f>
        <v>3825.34142857143</v>
      </c>
    </row>
    <row r="8" ht="17.4" spans="1:117">
      <c r="A8" s="57"/>
      <c r="B8" s="64" t="s">
        <v>86</v>
      </c>
      <c r="C8" s="65">
        <v>5992.64</v>
      </c>
      <c r="D8" s="65">
        <v>130880.906666666</v>
      </c>
      <c r="E8" s="65">
        <v>5850.82433217014</v>
      </c>
      <c r="F8" s="65">
        <v>6134.45566782985</v>
      </c>
      <c r="G8" s="65">
        <v>629.427239583333</v>
      </c>
      <c r="H8" s="66">
        <v>74.7080570249204</v>
      </c>
      <c r="I8" s="65">
        <v>626.03903373441</v>
      </c>
      <c r="J8" s="65">
        <v>632.815445432256</v>
      </c>
      <c r="K8" s="65">
        <v>341.5912</v>
      </c>
      <c r="L8" s="65">
        <v>549.665960999999</v>
      </c>
      <c r="M8" s="65">
        <v>332.400777255038</v>
      </c>
      <c r="N8" s="65">
        <v>350.781622744961</v>
      </c>
      <c r="O8" s="65">
        <v>130.4948</v>
      </c>
      <c r="P8" s="65">
        <v>1673.68470933333</v>
      </c>
      <c r="Q8" s="65">
        <v>114.457808786714</v>
      </c>
      <c r="R8" s="67">
        <v>146.531791213285</v>
      </c>
      <c r="V8" s="64" t="s">
        <v>86</v>
      </c>
      <c r="W8" s="65">
        <v>5992.64</v>
      </c>
      <c r="X8" s="62">
        <v>0</v>
      </c>
      <c r="Y8"/>
      <c r="Z8" s="63">
        <v>4</v>
      </c>
      <c r="AA8" s="62">
        <f>AVERAGEIF($X$5:$X$52,4,$W$5:$W$52)</f>
        <v>5531.2</v>
      </c>
    </row>
    <row r="9" ht="17.4" spans="1:117">
      <c r="A9" s="57">
        <v>2</v>
      </c>
      <c r="B9" s="58" t="s">
        <v>87</v>
      </c>
      <c r="C9" s="59">
        <v>5550.8</v>
      </c>
      <c r="D9" s="59">
        <v>45.0833333333333</v>
      </c>
      <c r="E9" s="59">
        <v>5548.16795035507</v>
      </c>
      <c r="F9" s="59">
        <v>5553.43204964492</v>
      </c>
      <c r="G9" s="59">
        <v>550.42953125</v>
      </c>
      <c r="H9" s="60">
        <v>3.08719950358072</v>
      </c>
      <c r="I9" s="59">
        <v>549.74077046096</v>
      </c>
      <c r="J9" s="59">
        <v>551.118292039039</v>
      </c>
      <c r="K9" s="59">
        <v>89.6648</v>
      </c>
      <c r="L9" s="59">
        <v>32.3233093333333</v>
      </c>
      <c r="M9" s="59">
        <v>87.4361391901419</v>
      </c>
      <c r="N9" s="59">
        <v>91.8934608098581</v>
      </c>
      <c r="O9" s="59">
        <v>88.1108</v>
      </c>
      <c r="P9" s="59">
        <v>68.6056243333333</v>
      </c>
      <c r="Q9" s="59">
        <v>84.8639223217439</v>
      </c>
      <c r="R9" s="59">
        <v>91.357677678256</v>
      </c>
      <c r="V9" s="58" t="s">
        <v>87</v>
      </c>
      <c r="W9" s="59">
        <v>5550.8</v>
      </c>
      <c r="X9" s="62">
        <v>2</v>
      </c>
      <c r="Y9"/>
      <c r="Z9" s="42"/>
      <c r="AA9" s="42"/>
    </row>
    <row r="10" ht="17.4" spans="1:117">
      <c r="A10" s="57"/>
      <c r="B10" s="58" t="s">
        <v>88</v>
      </c>
      <c r="C10" s="59">
        <v>5559.56</v>
      </c>
      <c r="D10" s="59">
        <v>69.5066666666666</v>
      </c>
      <c r="E10" s="59">
        <v>5556.29187019433</v>
      </c>
      <c r="F10" s="59">
        <v>5562.82812980566</v>
      </c>
      <c r="G10" s="59">
        <v>557.8803125</v>
      </c>
      <c r="H10" s="60">
        <v>1643.01568715413</v>
      </c>
      <c r="I10" s="59">
        <v>541.990933577246</v>
      </c>
      <c r="J10" s="59">
        <v>573.769691422753</v>
      </c>
      <c r="K10" s="59">
        <v>338.135199999999</v>
      </c>
      <c r="L10" s="59">
        <v>1545570.04046766</v>
      </c>
      <c r="M10" s="59">
        <v>-149.202952311537</v>
      </c>
      <c r="N10" s="59">
        <v>825.473352311537</v>
      </c>
      <c r="O10" s="59">
        <v>87.5372</v>
      </c>
      <c r="P10" s="59">
        <v>29.6995126666666</v>
      </c>
      <c r="Q10" s="59">
        <v>85.4009074370745</v>
      </c>
      <c r="R10" s="59">
        <v>89.6734925629254</v>
      </c>
      <c r="V10" s="58" t="s">
        <v>88</v>
      </c>
      <c r="W10" s="59">
        <v>5559.56</v>
      </c>
      <c r="X10" s="62">
        <v>3</v>
      </c>
      <c r="Y10"/>
      <c r="Z10" s="42"/>
      <c r="AA10" s="42"/>
    </row>
    <row r="11" ht="17.4" spans="1:117">
      <c r="A11" s="57"/>
      <c r="B11" s="58" t="s">
        <v>89</v>
      </c>
      <c r="C11" s="59">
        <v>5520.68</v>
      </c>
      <c r="D11" s="59">
        <v>55.5599999999999</v>
      </c>
      <c r="E11" s="59">
        <v>5517.75808763991</v>
      </c>
      <c r="F11" s="59">
        <v>5523.60191236008</v>
      </c>
      <c r="G11" s="59">
        <v>549.34015625</v>
      </c>
      <c r="H11" s="60">
        <v>1.95365005493164</v>
      </c>
      <c r="I11" s="59">
        <v>548.79224596351</v>
      </c>
      <c r="J11" s="59">
        <v>549.888066536489</v>
      </c>
      <c r="K11" s="59">
        <v>91.4416</v>
      </c>
      <c r="L11" s="59">
        <v>56.2392056666666</v>
      </c>
      <c r="M11" s="59">
        <v>88.5018821054457</v>
      </c>
      <c r="N11" s="59">
        <v>94.3813178945542</v>
      </c>
      <c r="O11" s="59">
        <v>90.016</v>
      </c>
      <c r="P11" s="59">
        <v>29.9687916666666</v>
      </c>
      <c r="Q11" s="59">
        <v>87.8700446410359</v>
      </c>
      <c r="R11" s="59">
        <v>92.1619553589641</v>
      </c>
      <c r="V11" s="58" t="s">
        <v>89</v>
      </c>
      <c r="W11" s="59">
        <v>5520.68</v>
      </c>
      <c r="X11" s="62">
        <v>3</v>
      </c>
      <c r="Y11"/>
      <c r="Z11" s="42"/>
      <c r="AA11" s="42"/>
    </row>
    <row r="12" ht="17.4" spans="1:117">
      <c r="A12" s="57"/>
      <c r="B12" s="58" t="s">
        <v>90</v>
      </c>
      <c r="C12" s="59">
        <v>5520.96</v>
      </c>
      <c r="D12" s="59">
        <v>39.4566666666667</v>
      </c>
      <c r="E12" s="59">
        <v>5518.49766995984</v>
      </c>
      <c r="F12" s="59">
        <v>5523.42233004015</v>
      </c>
      <c r="G12" s="59">
        <v>550.19046875</v>
      </c>
      <c r="H12" s="60">
        <v>1.92967895507812</v>
      </c>
      <c r="I12" s="59">
        <v>549.645930241762</v>
      </c>
      <c r="J12" s="59">
        <v>550.735007258237</v>
      </c>
      <c r="K12" s="59">
        <v>92.1632</v>
      </c>
      <c r="L12" s="59">
        <v>33.517606</v>
      </c>
      <c r="M12" s="59">
        <v>89.8937398420805</v>
      </c>
      <c r="N12" s="59">
        <v>94.4326601579195</v>
      </c>
      <c r="O12" s="59">
        <v>89.4555999999999</v>
      </c>
      <c r="P12" s="59">
        <v>53.2143923333333</v>
      </c>
      <c r="Q12" s="59">
        <v>86.5960307346193</v>
      </c>
      <c r="R12" s="59">
        <v>92.3151692653805</v>
      </c>
      <c r="V12" s="58" t="s">
        <v>90</v>
      </c>
      <c r="W12" s="59">
        <v>5520.96</v>
      </c>
      <c r="X12" s="62">
        <v>3</v>
      </c>
      <c r="Y12"/>
      <c r="Z12" s="42"/>
      <c r="AA12" s="42"/>
    </row>
    <row r="13" ht="17.4" spans="1:117">
      <c r="A13" s="57"/>
      <c r="B13" s="58" t="s">
        <v>91</v>
      </c>
      <c r="C13" s="59">
        <v>5543.16</v>
      </c>
      <c r="D13" s="59">
        <v>85.8066666666666</v>
      </c>
      <c r="E13" s="59">
        <v>5539.52882999204</v>
      </c>
      <c r="F13" s="59">
        <v>5546.79117000795</v>
      </c>
      <c r="G13" s="59">
        <v>631.87765625</v>
      </c>
      <c r="H13" s="60">
        <v>166737.116294504</v>
      </c>
      <c r="I13" s="59">
        <v>471.810507096031</v>
      </c>
      <c r="J13" s="59">
        <v>791.944805403968</v>
      </c>
      <c r="K13" s="59">
        <v>3271.68679999999</v>
      </c>
      <c r="L13" s="59">
        <v>253134646.803364</v>
      </c>
      <c r="M13" s="59">
        <v>-2965.11385148728</v>
      </c>
      <c r="N13" s="59">
        <v>9508.48745148727</v>
      </c>
      <c r="O13" s="59">
        <v>87.2756</v>
      </c>
      <c r="P13" s="59">
        <v>59.1557923333333</v>
      </c>
      <c r="Q13" s="59">
        <v>84.2606181305504</v>
      </c>
      <c r="R13" s="59">
        <v>90.2905818694495</v>
      </c>
      <c r="V13" s="58" t="s">
        <v>91</v>
      </c>
      <c r="W13" s="59">
        <v>5543.16</v>
      </c>
      <c r="X13" s="62">
        <v>3</v>
      </c>
      <c r="Y13"/>
      <c r="Z13" s="42"/>
      <c r="AA13" s="42"/>
    </row>
    <row r="14" ht="17.4" spans="1:117">
      <c r="A14" s="57"/>
      <c r="B14" s="58" t="s">
        <v>92</v>
      </c>
      <c r="C14" s="59">
        <v>5518.44</v>
      </c>
      <c r="D14" s="59">
        <v>65.3399999999999</v>
      </c>
      <c r="E14" s="59">
        <v>5515.27134006873</v>
      </c>
      <c r="F14" s="59">
        <v>5521.60865993126</v>
      </c>
      <c r="G14" s="59">
        <v>549.8640625</v>
      </c>
      <c r="H14" s="60">
        <v>2.61822891235351</v>
      </c>
      <c r="I14" s="59">
        <v>549.229769564844</v>
      </c>
      <c r="J14" s="59">
        <v>550.498355435155</v>
      </c>
      <c r="K14" s="59">
        <v>91.2891999999999</v>
      </c>
      <c r="L14" s="59">
        <v>29.8528493333333</v>
      </c>
      <c r="M14" s="59">
        <v>89.1473997665614</v>
      </c>
      <c r="N14" s="59">
        <v>93.4310002334385</v>
      </c>
      <c r="O14" s="59">
        <v>85.7835999999999</v>
      </c>
      <c r="P14" s="59">
        <v>67.169549</v>
      </c>
      <c r="Q14" s="59">
        <v>82.5708843920546</v>
      </c>
      <c r="R14" s="59">
        <v>88.9963156079453</v>
      </c>
      <c r="V14" s="58" t="s">
        <v>92</v>
      </c>
      <c r="W14" s="59">
        <v>5518.44</v>
      </c>
      <c r="X14" s="62">
        <v>3</v>
      </c>
      <c r="Y14"/>
      <c r="Z14" s="42"/>
      <c r="AA14" s="42"/>
    </row>
    <row r="15" ht="17.4" spans="1:117">
      <c r="A15" s="57"/>
      <c r="B15" s="58" t="s">
        <v>93</v>
      </c>
      <c r="C15" s="59">
        <v>5542</v>
      </c>
      <c r="D15" s="59">
        <v>86.5833333333333</v>
      </c>
      <c r="E15" s="59">
        <v>5538.35243350529</v>
      </c>
      <c r="F15" s="59">
        <v>5545.64756649471</v>
      </c>
      <c r="G15" s="59">
        <v>549.75140625</v>
      </c>
      <c r="H15" s="60">
        <v>3.8707388305664</v>
      </c>
      <c r="I15" s="59">
        <v>548.980177871593</v>
      </c>
      <c r="J15" s="59">
        <v>550.522634628406</v>
      </c>
      <c r="K15" s="59">
        <v>91.9764</v>
      </c>
      <c r="L15" s="59">
        <v>53.0261906666666</v>
      </c>
      <c r="M15" s="59">
        <v>89.1218918878022</v>
      </c>
      <c r="N15" s="59">
        <v>94.8309081121977</v>
      </c>
      <c r="O15" s="59">
        <v>86.3524</v>
      </c>
      <c r="P15" s="59">
        <v>99.8586189999999</v>
      </c>
      <c r="Q15" s="59">
        <v>82.4351720477337</v>
      </c>
      <c r="R15" s="59">
        <v>90.2696279522662</v>
      </c>
      <c r="V15" s="58" t="s">
        <v>93</v>
      </c>
      <c r="W15" s="59">
        <v>5542</v>
      </c>
      <c r="X15" s="62">
        <v>4</v>
      </c>
      <c r="Y15"/>
      <c r="Z15" s="42"/>
      <c r="AA15" s="42"/>
    </row>
    <row r="16" ht="17.4" spans="1:117">
      <c r="A16" s="57"/>
      <c r="B16" s="58" t="s">
        <v>94</v>
      </c>
      <c r="C16" s="59">
        <v>5532.36</v>
      </c>
      <c r="D16" s="59">
        <v>90.8233333333333</v>
      </c>
      <c r="E16" s="59">
        <v>5528.62418995486</v>
      </c>
      <c r="F16" s="59">
        <v>5536.09581004513</v>
      </c>
      <c r="G16" s="59">
        <v>629.18390625</v>
      </c>
      <c r="H16" s="60">
        <v>156231.384808756</v>
      </c>
      <c r="I16" s="59">
        <v>474.241531428736</v>
      </c>
      <c r="J16" s="59">
        <v>784.126281071263</v>
      </c>
      <c r="K16" s="59">
        <v>2300.358</v>
      </c>
      <c r="L16" s="59">
        <v>121984104.965775</v>
      </c>
      <c r="M16" s="59">
        <v>-2029.14145206843</v>
      </c>
      <c r="N16" s="59">
        <v>6629.85745206843</v>
      </c>
      <c r="O16" s="59">
        <v>1031.6568</v>
      </c>
      <c r="P16" s="59">
        <v>22187907.413581</v>
      </c>
      <c r="Q16" s="59">
        <v>-814.821633342916</v>
      </c>
      <c r="R16" s="59">
        <v>2878.13523334291</v>
      </c>
      <c r="V16" s="58" t="s">
        <v>94</v>
      </c>
      <c r="W16" s="59">
        <v>5532.36</v>
      </c>
      <c r="X16" s="62">
        <v>4</v>
      </c>
      <c r="Y16"/>
      <c r="Z16" s="42"/>
      <c r="AA16" s="42"/>
    </row>
    <row r="17" ht="17.4" spans="1:119">
      <c r="A17" s="57"/>
      <c r="B17" s="58" t="s">
        <v>95</v>
      </c>
      <c r="C17" s="59">
        <v>5519.24</v>
      </c>
      <c r="D17" s="59">
        <v>41.3566666666666</v>
      </c>
      <c r="E17" s="59">
        <v>5516.71908135262</v>
      </c>
      <c r="F17" s="59">
        <v>5521.76091864737</v>
      </c>
      <c r="G17" s="59">
        <v>549.71453125</v>
      </c>
      <c r="H17" s="60">
        <v>2.43893676757812</v>
      </c>
      <c r="I17" s="59">
        <v>549.102341100248</v>
      </c>
      <c r="J17" s="59">
        <v>550.326721399751</v>
      </c>
      <c r="K17" s="59">
        <v>90.7427999999999</v>
      </c>
      <c r="L17" s="59">
        <v>35.1468459999999</v>
      </c>
      <c r="M17" s="59">
        <v>88.4188368024118</v>
      </c>
      <c r="N17" s="59">
        <v>93.0667631975881</v>
      </c>
      <c r="O17" s="59">
        <v>87.9892</v>
      </c>
      <c r="P17" s="59">
        <v>58.687041</v>
      </c>
      <c r="Q17" s="59">
        <v>84.9861872680549</v>
      </c>
      <c r="R17" s="59">
        <v>90.992212731945</v>
      </c>
      <c r="V17" s="58" t="s">
        <v>95</v>
      </c>
      <c r="W17" s="59">
        <v>5519.24</v>
      </c>
      <c r="X17" s="62">
        <v>4</v>
      </c>
      <c r="Y17"/>
      <c r="Z17" s="42"/>
      <c r="AA17" s="42"/>
    </row>
    <row r="18" ht="17.4" spans="1:119">
      <c r="A18" s="57"/>
      <c r="B18" s="58" t="s">
        <v>96</v>
      </c>
      <c r="C18" s="59">
        <v>5558.08</v>
      </c>
      <c r="D18" s="59">
        <v>60.91</v>
      </c>
      <c r="E18" s="59">
        <v>5555.0206415313</v>
      </c>
      <c r="F18" s="59">
        <v>5561.13935846869</v>
      </c>
      <c r="G18" s="59">
        <v>550.12953125</v>
      </c>
      <c r="H18" s="60">
        <v>2.09738245646158</v>
      </c>
      <c r="I18" s="59">
        <v>549.561823422161</v>
      </c>
      <c r="J18" s="59">
        <v>550.697239077839</v>
      </c>
      <c r="K18" s="59">
        <v>88.164</v>
      </c>
      <c r="L18" s="59">
        <v>37.9250083333333</v>
      </c>
      <c r="M18" s="59">
        <v>85.7499352783048</v>
      </c>
      <c r="N18" s="59">
        <v>90.5780647216952</v>
      </c>
      <c r="O18" s="59">
        <v>87.8704</v>
      </c>
      <c r="P18" s="59">
        <v>60.5733123333333</v>
      </c>
      <c r="Q18" s="59">
        <v>84.819508742287</v>
      </c>
      <c r="R18" s="59">
        <v>90.9212912577129</v>
      </c>
      <c r="V18" s="58" t="s">
        <v>96</v>
      </c>
      <c r="W18" s="59">
        <v>5558.08</v>
      </c>
      <c r="X18" s="62">
        <v>3</v>
      </c>
      <c r="Y18"/>
      <c r="Z18" s="42"/>
      <c r="AA18" s="42"/>
    </row>
    <row r="19" ht="17.4" spans="1:119">
      <c r="A19" s="57"/>
      <c r="B19" s="58" t="s">
        <v>97</v>
      </c>
      <c r="C19" s="59">
        <v>5556</v>
      </c>
      <c r="D19" s="59">
        <v>56</v>
      </c>
      <c r="E19" s="59">
        <v>5553.06654060876</v>
      </c>
      <c r="F19" s="59">
        <v>5558.93345939123</v>
      </c>
      <c r="G19" s="59">
        <v>549.715625</v>
      </c>
      <c r="H19" s="60">
        <v>2.30859375</v>
      </c>
      <c r="I19" s="59">
        <v>549.120017956724</v>
      </c>
      <c r="J19" s="59">
        <v>550.311232043276</v>
      </c>
      <c r="K19" s="59">
        <v>91.8268</v>
      </c>
      <c r="L19" s="59">
        <v>52.7631809999999</v>
      </c>
      <c r="M19" s="59">
        <v>88.9793798614914</v>
      </c>
      <c r="N19" s="59">
        <v>94.6742201385085</v>
      </c>
      <c r="O19" s="59">
        <v>88.4388</v>
      </c>
      <c r="P19" s="59">
        <v>114.613310999999</v>
      </c>
      <c r="Q19" s="59">
        <v>84.2421418269408</v>
      </c>
      <c r="R19" s="59">
        <v>92.6354581730591</v>
      </c>
      <c r="V19" s="58" t="s">
        <v>97</v>
      </c>
      <c r="W19" s="59">
        <v>5556</v>
      </c>
      <c r="X19" s="62">
        <v>3</v>
      </c>
      <c r="Y19"/>
      <c r="Z19" s="42"/>
      <c r="AA19" s="42"/>
      <c r="DN19" s="43"/>
      <c r="DO19" s="43"/>
    </row>
    <row r="20" ht="17.4" spans="1:119">
      <c r="A20" s="57"/>
      <c r="B20" s="58" t="s">
        <v>98</v>
      </c>
      <c r="C20" s="59">
        <v>5542.24</v>
      </c>
      <c r="D20" s="59">
        <v>48.7733333333333</v>
      </c>
      <c r="E20" s="59">
        <v>5539.50235402337</v>
      </c>
      <c r="F20" s="59">
        <v>5544.97764597662</v>
      </c>
      <c r="G20" s="59">
        <v>549.7934375</v>
      </c>
      <c r="H20" s="60">
        <v>1.85078852335611</v>
      </c>
      <c r="I20" s="59">
        <v>549.260146240318</v>
      </c>
      <c r="J20" s="59">
        <v>550.326728759681</v>
      </c>
      <c r="K20" s="59">
        <v>90.1172</v>
      </c>
      <c r="L20" s="59">
        <v>71.5587543333333</v>
      </c>
      <c r="M20" s="59">
        <v>86.8011776198165</v>
      </c>
      <c r="N20" s="59">
        <v>93.4332223801834</v>
      </c>
      <c r="O20" s="59">
        <v>87.9436</v>
      </c>
      <c r="P20" s="59">
        <v>153.360607333333</v>
      </c>
      <c r="Q20" s="59">
        <v>83.089117085696</v>
      </c>
      <c r="R20" s="59">
        <v>92.7980829143039</v>
      </c>
      <c r="V20" s="58" t="s">
        <v>98</v>
      </c>
      <c r="W20" s="59">
        <v>5542.24</v>
      </c>
      <c r="X20" s="62">
        <v>3</v>
      </c>
      <c r="Y20"/>
      <c r="Z20" s="42"/>
      <c r="AA20" s="42"/>
      <c r="DN20" s="43"/>
      <c r="DO20" s="43"/>
    </row>
    <row r="21" ht="17.4" spans="1:119">
      <c r="A21" s="57"/>
      <c r="B21" s="58" t="s">
        <v>99</v>
      </c>
      <c r="C21" s="59">
        <v>5565.36</v>
      </c>
      <c r="D21" s="59">
        <v>113.073333333333</v>
      </c>
      <c r="E21" s="59">
        <v>5561.19163093124</v>
      </c>
      <c r="F21" s="59">
        <v>5569.52836906875</v>
      </c>
      <c r="G21" s="59">
        <v>558.08421875</v>
      </c>
      <c r="H21" s="60">
        <v>1627.27599726359</v>
      </c>
      <c r="I21" s="59">
        <v>542.271131169027</v>
      </c>
      <c r="J21" s="59">
        <v>573.897306330972</v>
      </c>
      <c r="K21" s="59">
        <v>319.74</v>
      </c>
      <c r="L21" s="59">
        <v>1312858.85725</v>
      </c>
      <c r="M21" s="59">
        <v>-129.413808222154</v>
      </c>
      <c r="N21" s="59">
        <v>768.893808222154</v>
      </c>
      <c r="O21" s="59">
        <v>302.5616</v>
      </c>
      <c r="P21" s="59">
        <v>1139032.73469733</v>
      </c>
      <c r="Q21" s="59">
        <v>-115.802268115461</v>
      </c>
      <c r="R21" s="59">
        <v>720.925468115461</v>
      </c>
      <c r="V21" s="58" t="s">
        <v>99</v>
      </c>
      <c r="W21" s="59">
        <v>5565.36</v>
      </c>
      <c r="X21" s="62">
        <v>3</v>
      </c>
      <c r="Y21"/>
      <c r="Z21" s="42"/>
      <c r="AA21" s="42"/>
      <c r="DN21" s="43"/>
      <c r="DO21" s="43"/>
    </row>
    <row r="22" ht="17.4" spans="1:119">
      <c r="A22" s="57"/>
      <c r="B22" s="58" t="s">
        <v>100</v>
      </c>
      <c r="C22" s="59">
        <v>5552.08</v>
      </c>
      <c r="D22" s="59">
        <v>47.8266666666666</v>
      </c>
      <c r="E22" s="59">
        <v>5549.36905239691</v>
      </c>
      <c r="F22" s="59">
        <v>5554.79094760308</v>
      </c>
      <c r="G22" s="59">
        <v>558.135</v>
      </c>
      <c r="H22" s="60">
        <v>1663.38213867187</v>
      </c>
      <c r="I22" s="59">
        <v>542.147443809109</v>
      </c>
      <c r="J22" s="59">
        <v>574.12255619089</v>
      </c>
      <c r="K22" s="59">
        <v>334.361199999999</v>
      </c>
      <c r="L22" s="59">
        <v>1478716.11380266</v>
      </c>
      <c r="M22" s="59">
        <v>-142.320489297347</v>
      </c>
      <c r="N22" s="59">
        <v>811.042889297347</v>
      </c>
      <c r="O22" s="59">
        <v>332.840799999999</v>
      </c>
      <c r="P22" s="59">
        <v>1476914.70842433</v>
      </c>
      <c r="Q22" s="59">
        <v>-143.550448613276</v>
      </c>
      <c r="R22" s="59">
        <v>809.232048613276</v>
      </c>
      <c r="V22" s="58" t="s">
        <v>100</v>
      </c>
      <c r="W22" s="59">
        <v>5552.08</v>
      </c>
      <c r="X22" s="62">
        <v>3</v>
      </c>
      <c r="Y22"/>
      <c r="Z22" s="42"/>
      <c r="AA22" s="42"/>
      <c r="DN22" s="43"/>
      <c r="DO22" s="43"/>
    </row>
    <row r="23" ht="17.4" spans="1:119">
      <c r="A23" s="57"/>
      <c r="B23" s="58" t="s">
        <v>101</v>
      </c>
      <c r="C23" s="59">
        <v>5565.52</v>
      </c>
      <c r="D23" s="59">
        <v>80.51</v>
      </c>
      <c r="E23" s="59">
        <v>5562.00268729851</v>
      </c>
      <c r="F23" s="59">
        <v>5569.03731270148</v>
      </c>
      <c r="G23" s="59">
        <v>549.09953125</v>
      </c>
      <c r="H23" s="60">
        <v>2.27219024658203</v>
      </c>
      <c r="I23" s="59">
        <v>548.50863883843</v>
      </c>
      <c r="J23" s="59">
        <v>549.690423661569</v>
      </c>
      <c r="K23" s="59">
        <v>90.2524</v>
      </c>
      <c r="L23" s="59">
        <v>62.5185106666666</v>
      </c>
      <c r="M23" s="59">
        <v>87.1529090058071</v>
      </c>
      <c r="N23" s="59">
        <v>93.3518909941928</v>
      </c>
      <c r="O23" s="59">
        <v>89.9711999999999</v>
      </c>
      <c r="P23" s="59">
        <v>83.9196943333333</v>
      </c>
      <c r="Q23" s="59">
        <v>86.3801784308587</v>
      </c>
      <c r="R23" s="59">
        <v>93.5622215691411</v>
      </c>
      <c r="V23" s="58" t="s">
        <v>101</v>
      </c>
      <c r="W23" s="59">
        <v>5565.52</v>
      </c>
      <c r="X23" s="68">
        <v>3</v>
      </c>
      <c r="Y23"/>
      <c r="Z23" s="69"/>
      <c r="AA23" s="69"/>
      <c r="DN23" s="43"/>
      <c r="DO23" s="43"/>
    </row>
    <row r="24" ht="17.4" spans="1:119">
      <c r="A24" s="57"/>
      <c r="B24" s="58" t="s">
        <v>102</v>
      </c>
      <c r="C24" s="59">
        <v>5563.6</v>
      </c>
      <c r="D24" s="59">
        <v>91.3333333333333</v>
      </c>
      <c r="E24" s="59">
        <v>5559.8537157965</v>
      </c>
      <c r="F24" s="59">
        <v>5567.34628420349</v>
      </c>
      <c r="G24" s="59">
        <v>558.41640625</v>
      </c>
      <c r="H24" s="60">
        <v>1811.70304361979</v>
      </c>
      <c r="I24" s="59">
        <v>541.731277047779</v>
      </c>
      <c r="J24" s="59">
        <v>575.10153545222</v>
      </c>
      <c r="K24" s="59">
        <v>339.629999999999</v>
      </c>
      <c r="L24" s="59">
        <v>1540095.06225833</v>
      </c>
      <c r="M24" s="59">
        <v>-146.844220947898</v>
      </c>
      <c r="N24" s="59">
        <v>826.104220947898</v>
      </c>
      <c r="O24" s="59">
        <v>342.4096</v>
      </c>
      <c r="P24" s="59">
        <v>1592121.42242066</v>
      </c>
      <c r="Q24" s="59">
        <v>-152.213232322618</v>
      </c>
      <c r="R24" s="59">
        <v>837.032432322618</v>
      </c>
      <c r="V24" s="58" t="s">
        <v>102</v>
      </c>
      <c r="W24" s="59">
        <v>5563.6</v>
      </c>
      <c r="X24" s="68">
        <v>3</v>
      </c>
      <c r="Y24"/>
      <c r="Z24" s="69"/>
      <c r="AA24" s="69"/>
      <c r="DN24" s="43"/>
      <c r="DO24" s="43"/>
    </row>
    <row r="25" ht="17.4" spans="1:119">
      <c r="A25" s="57"/>
      <c r="B25" s="58" t="s">
        <v>103</v>
      </c>
      <c r="C25" s="59">
        <v>5544.96</v>
      </c>
      <c r="D25" s="59">
        <v>169.456666666666</v>
      </c>
      <c r="E25" s="59">
        <v>5539.85711951671</v>
      </c>
      <c r="F25" s="59">
        <v>5550.06288048328</v>
      </c>
      <c r="G25" s="59">
        <v>548.96515625</v>
      </c>
      <c r="H25" s="60">
        <v>2.16659662882487</v>
      </c>
      <c r="I25" s="59">
        <v>548.388157199418</v>
      </c>
      <c r="J25" s="59">
        <v>549.542155300581</v>
      </c>
      <c r="K25" s="59">
        <v>89.6544</v>
      </c>
      <c r="L25" s="59">
        <v>34.1923506666666</v>
      </c>
      <c r="M25" s="59">
        <v>87.3622103540844</v>
      </c>
      <c r="N25" s="59">
        <v>91.9465896459156</v>
      </c>
      <c r="O25" s="59">
        <v>89.7484</v>
      </c>
      <c r="P25" s="59">
        <v>59.8260723333333</v>
      </c>
      <c r="Q25" s="59">
        <v>86.7163852277686</v>
      </c>
      <c r="R25" s="59">
        <v>92.7804147722313</v>
      </c>
      <c r="V25" s="58" t="s">
        <v>103</v>
      </c>
      <c r="W25" s="59">
        <v>5544.96</v>
      </c>
      <c r="X25" s="68">
        <v>2</v>
      </c>
      <c r="Y25"/>
      <c r="Z25" s="69"/>
      <c r="AA25" s="69"/>
      <c r="DN25" s="43"/>
      <c r="DO25" s="43"/>
    </row>
    <row r="26" s="42" customFormat="1" ht="17.4" spans="1:119">
      <c r="A26" s="57"/>
      <c r="B26" s="58" t="s">
        <v>104</v>
      </c>
      <c r="C26" s="59">
        <v>16285.2</v>
      </c>
      <c r="D26" s="59">
        <v>151.833333333333</v>
      </c>
      <c r="E26" s="59">
        <v>16280.3697497649</v>
      </c>
      <c r="F26" s="59">
        <v>16290.030250235</v>
      </c>
      <c r="G26" s="59">
        <v>549.74671875</v>
      </c>
      <c r="H26" s="60">
        <v>2.05624094645182</v>
      </c>
      <c r="I26" s="59">
        <v>549.184606475809</v>
      </c>
      <c r="J26" s="59">
        <v>550.30883102419</v>
      </c>
      <c r="K26" s="59">
        <v>30.3728</v>
      </c>
      <c r="L26" s="59">
        <v>4.92626266666666</v>
      </c>
      <c r="M26" s="59">
        <v>29.5027487219648</v>
      </c>
      <c r="N26" s="59">
        <v>31.2428512780351</v>
      </c>
      <c r="O26" s="59">
        <v>30.7835999999999</v>
      </c>
      <c r="P26" s="59">
        <v>4.20840733333333</v>
      </c>
      <c r="Q26" s="59">
        <v>29.9794353996417</v>
      </c>
      <c r="R26" s="59">
        <v>31.5877646003582</v>
      </c>
      <c r="V26" s="58" t="s">
        <v>104</v>
      </c>
      <c r="W26" s="59">
        <v>16285.2</v>
      </c>
      <c r="X26" s="68">
        <v>3</v>
      </c>
      <c r="Y26"/>
      <c r="Z26" s="69"/>
      <c r="AA26" s="69"/>
    </row>
    <row r="27" s="43" customFormat="1" ht="17.4" spans="1:119">
      <c r="A27" s="57"/>
      <c r="B27" s="58" t="s">
        <v>105</v>
      </c>
      <c r="C27" s="59">
        <v>7654.28</v>
      </c>
      <c r="D27" s="59">
        <v>168.21</v>
      </c>
      <c r="E27" s="59">
        <v>7649.19592472125</v>
      </c>
      <c r="F27" s="59">
        <v>7659.36407527875</v>
      </c>
      <c r="G27" s="59">
        <v>549.721875</v>
      </c>
      <c r="H27" s="60">
        <v>2.19542821248372</v>
      </c>
      <c r="I27" s="59">
        <v>549.141049483305</v>
      </c>
      <c r="J27" s="59">
        <v>550.302700516694</v>
      </c>
      <c r="K27" s="59">
        <v>65.3571999999999</v>
      </c>
      <c r="L27" s="59">
        <v>21.4044376666666</v>
      </c>
      <c r="M27" s="59">
        <v>63.5436147360516</v>
      </c>
      <c r="N27" s="59">
        <v>67.1707852639483</v>
      </c>
      <c r="O27" s="59">
        <v>65.6508</v>
      </c>
      <c r="P27" s="59">
        <v>36.6545493333333</v>
      </c>
      <c r="Q27" s="59">
        <v>63.2775143726981</v>
      </c>
      <c r="R27" s="59">
        <v>68.0240856273018</v>
      </c>
      <c r="V27" s="58" t="s">
        <v>105</v>
      </c>
      <c r="W27" s="59">
        <v>7654.28</v>
      </c>
      <c r="X27" s="68">
        <v>3</v>
      </c>
      <c r="Y27"/>
      <c r="Z27" s="69"/>
      <c r="AA27" s="69"/>
    </row>
    <row r="28" ht="17.4" spans="1:119">
      <c r="A28" s="57"/>
      <c r="B28" s="58" t="s">
        <v>106</v>
      </c>
      <c r="C28" s="59">
        <v>5543.36</v>
      </c>
      <c r="D28" s="59">
        <v>41.9066666666666</v>
      </c>
      <c r="E28" s="59">
        <v>5540.82237393876</v>
      </c>
      <c r="F28" s="59">
        <v>5545.89762606123</v>
      </c>
      <c r="G28" s="59">
        <v>550.0828125</v>
      </c>
      <c r="H28" s="60">
        <v>9.86667887369791</v>
      </c>
      <c r="I28" s="59">
        <v>548.851490713281</v>
      </c>
      <c r="J28" s="59">
        <v>551.314134286718</v>
      </c>
      <c r="K28" s="59">
        <v>91.5515999999999</v>
      </c>
      <c r="L28" s="59">
        <v>43.6366139999999</v>
      </c>
      <c r="M28" s="59">
        <v>88.9621257959006</v>
      </c>
      <c r="N28" s="59">
        <v>94.1410742040993</v>
      </c>
      <c r="O28" s="59">
        <v>89.1271999999999</v>
      </c>
      <c r="P28" s="59">
        <v>47.098671</v>
      </c>
      <c r="Q28" s="59">
        <v>86.4369639173217</v>
      </c>
      <c r="R28" s="59">
        <v>91.8174360826782</v>
      </c>
      <c r="V28" s="58" t="s">
        <v>106</v>
      </c>
      <c r="W28" s="59">
        <v>5543.36</v>
      </c>
      <c r="X28" s="68">
        <v>2</v>
      </c>
      <c r="Y28"/>
      <c r="Z28" s="69"/>
      <c r="AA28" s="69"/>
      <c r="DN28" s="43"/>
      <c r="DO28" s="43"/>
    </row>
    <row r="29" ht="17.4" spans="1:119">
      <c r="A29" s="57"/>
      <c r="B29" s="64" t="s">
        <v>86</v>
      </c>
      <c r="C29" s="65">
        <v>123737.88</v>
      </c>
      <c r="D29" s="65">
        <v>3759.27666666666</v>
      </c>
      <c r="E29" s="65">
        <v>123713.845327343</v>
      </c>
      <c r="F29" s="65">
        <v>123761.914672656</v>
      </c>
      <c r="G29" s="65">
        <v>559.5061171875</v>
      </c>
      <c r="H29" s="66">
        <v>934.227827188873</v>
      </c>
      <c r="I29" s="65">
        <v>547.524582025545</v>
      </c>
      <c r="J29" s="65">
        <v>571.487652349454</v>
      </c>
      <c r="K29" s="65">
        <v>404.4248</v>
      </c>
      <c r="L29" s="65">
        <v>1056190.00826766</v>
      </c>
      <c r="M29" s="65">
        <v>1.56206726036981</v>
      </c>
      <c r="N29" s="65">
        <v>807.28753273963</v>
      </c>
      <c r="O29" s="65">
        <v>167.076</v>
      </c>
      <c r="P29" s="65">
        <v>87999.1209916666</v>
      </c>
      <c r="Q29" s="65">
        <v>50.7905884985417</v>
      </c>
      <c r="R29" s="65">
        <v>283.361411501458</v>
      </c>
      <c r="V29" s="64" t="s">
        <v>86</v>
      </c>
      <c r="W29" s="65">
        <v>123737.88</v>
      </c>
      <c r="X29" s="68">
        <v>0</v>
      </c>
      <c r="Y29"/>
      <c r="Z29" s="69"/>
      <c r="AA29" s="69"/>
      <c r="DN29" s="43"/>
      <c r="DO29" s="43"/>
    </row>
    <row r="30" ht="17.4" spans="1:119">
      <c r="A30" s="57">
        <v>3</v>
      </c>
      <c r="B30" s="58" t="s">
        <v>107</v>
      </c>
      <c r="C30" s="59">
        <v>929</v>
      </c>
      <c r="D30" s="59">
        <v>851.166666666666</v>
      </c>
      <c r="E30" s="59">
        <v>917.563493773592</v>
      </c>
      <c r="F30" s="59">
        <v>940.436506226407</v>
      </c>
      <c r="G30" s="59">
        <v>613.12875</v>
      </c>
      <c r="H30" s="60">
        <v>96.8572495524088</v>
      </c>
      <c r="I30" s="59">
        <v>609.270839633594</v>
      </c>
      <c r="J30" s="59">
        <v>616.986660366405</v>
      </c>
      <c r="K30" s="59">
        <v>425.4516</v>
      </c>
      <c r="L30" s="59">
        <v>1151.35259733333</v>
      </c>
      <c r="M30" s="59">
        <v>412.150417890253</v>
      </c>
      <c r="N30" s="59">
        <v>438.752782109746</v>
      </c>
      <c r="O30" s="59">
        <v>255.046799999999</v>
      </c>
      <c r="P30" s="59">
        <v>4781.65941433333</v>
      </c>
      <c r="Q30" s="59">
        <v>227.940178811734</v>
      </c>
      <c r="R30" s="59">
        <v>282.153421188265</v>
      </c>
      <c r="V30" s="58" t="s">
        <v>107</v>
      </c>
      <c r="W30" s="59">
        <v>929</v>
      </c>
      <c r="X30" s="68">
        <v>3</v>
      </c>
      <c r="Y30"/>
      <c r="Z30" s="69"/>
      <c r="AA30" s="69"/>
      <c r="DN30" s="43"/>
      <c r="DO30" s="43"/>
    </row>
    <row r="31" ht="17.4" spans="1:119">
      <c r="A31" s="57"/>
      <c r="B31" s="58" t="s">
        <v>108</v>
      </c>
      <c r="C31" s="59">
        <v>851.96</v>
      </c>
      <c r="D31" s="59">
        <v>258.873333333333</v>
      </c>
      <c r="E31" s="59">
        <v>845.652899882407</v>
      </c>
      <c r="F31" s="59">
        <v>858.267100117592</v>
      </c>
      <c r="G31" s="59">
        <v>614.61703125</v>
      </c>
      <c r="H31" s="60">
        <v>56.3398036702474</v>
      </c>
      <c r="I31" s="59">
        <v>611.674685316703</v>
      </c>
      <c r="J31" s="59">
        <v>617.559377183296</v>
      </c>
      <c r="K31" s="59">
        <v>406.135199999999</v>
      </c>
      <c r="L31" s="59">
        <v>2003.47425933333</v>
      </c>
      <c r="M31" s="59">
        <v>388.589207050434</v>
      </c>
      <c r="N31" s="59">
        <v>423.681192949565</v>
      </c>
      <c r="O31" s="59">
        <v>189.121599999999</v>
      </c>
      <c r="P31" s="59">
        <v>7851.521389</v>
      </c>
      <c r="Q31" s="59">
        <v>154.386946083208</v>
      </c>
      <c r="R31" s="59">
        <v>223.856253916791</v>
      </c>
      <c r="V31" s="58" t="s">
        <v>108</v>
      </c>
      <c r="W31" s="59">
        <v>851.96</v>
      </c>
      <c r="X31" s="68">
        <v>3</v>
      </c>
      <c r="Y31"/>
      <c r="Z31" s="69"/>
      <c r="AA31" s="69"/>
      <c r="DN31" s="43"/>
      <c r="DO31" s="43"/>
    </row>
    <row r="32" ht="17.4" spans="1:119">
      <c r="A32" s="57"/>
      <c r="B32" s="58" t="s">
        <v>109</v>
      </c>
      <c r="C32" s="59">
        <v>579.76</v>
      </c>
      <c r="D32" s="59">
        <v>306.689999999999</v>
      </c>
      <c r="E32" s="59">
        <v>572.895073768786</v>
      </c>
      <c r="F32" s="59">
        <v>586.624926231213</v>
      </c>
      <c r="G32" s="59">
        <v>616.071875</v>
      </c>
      <c r="H32" s="60">
        <v>1472.97074254353</v>
      </c>
      <c r="I32" s="59">
        <v>601.027189021814</v>
      </c>
      <c r="J32" s="59">
        <v>631.116560978185</v>
      </c>
      <c r="K32" s="59">
        <v>606.011199999999</v>
      </c>
      <c r="L32" s="59">
        <v>21092.9768276666</v>
      </c>
      <c r="M32" s="59">
        <v>549.079388231476</v>
      </c>
      <c r="N32" s="59">
        <v>662.943011768523</v>
      </c>
      <c r="O32" s="59">
        <v>312.6196</v>
      </c>
      <c r="P32" s="59">
        <v>26599.2765706666</v>
      </c>
      <c r="Q32" s="59">
        <v>248.687204182582</v>
      </c>
      <c r="R32" s="59">
        <v>376.551995817417</v>
      </c>
      <c r="V32" s="58" t="s">
        <v>109</v>
      </c>
      <c r="W32" s="59">
        <v>579.76</v>
      </c>
      <c r="X32" s="68">
        <v>3</v>
      </c>
      <c r="Y32"/>
      <c r="Z32" s="69"/>
      <c r="AA32" s="69"/>
      <c r="DN32" s="43"/>
      <c r="DO32" s="43"/>
    </row>
    <row r="33" ht="17.4" spans="1:119">
      <c r="A33" s="57"/>
      <c r="B33" s="58" t="s">
        <v>110</v>
      </c>
      <c r="C33" s="59">
        <v>576.36</v>
      </c>
      <c r="D33" s="59">
        <v>258.24</v>
      </c>
      <c r="E33" s="59">
        <v>570.060619763818</v>
      </c>
      <c r="F33" s="59">
        <v>582.659380236182</v>
      </c>
      <c r="G33" s="59">
        <v>612.10796875</v>
      </c>
      <c r="H33" s="60">
        <v>48.3544538879394</v>
      </c>
      <c r="I33" s="59">
        <v>609.382103969377</v>
      </c>
      <c r="J33" s="59">
        <v>614.833833530622</v>
      </c>
      <c r="K33" s="59">
        <v>579.350799999999</v>
      </c>
      <c r="L33" s="59">
        <v>2997.55057433333</v>
      </c>
      <c r="M33" s="59">
        <v>557.88884269284</v>
      </c>
      <c r="N33" s="59">
        <v>600.812757307159</v>
      </c>
      <c r="O33" s="59">
        <v>258.528</v>
      </c>
      <c r="P33" s="59">
        <v>13985.300925</v>
      </c>
      <c r="Q33" s="59">
        <v>212.170289947202</v>
      </c>
      <c r="R33" s="59">
        <v>304.885710052797</v>
      </c>
      <c r="V33" s="58" t="s">
        <v>110</v>
      </c>
      <c r="W33" s="59">
        <v>576.36</v>
      </c>
      <c r="X33" s="68">
        <v>3</v>
      </c>
      <c r="Y33"/>
      <c r="Z33" s="69"/>
      <c r="AA33" s="69"/>
      <c r="DN33" s="43"/>
      <c r="DO33" s="43"/>
    </row>
    <row r="34" ht="17.4" spans="1:119">
      <c r="A34" s="57"/>
      <c r="B34" s="58" t="s">
        <v>111</v>
      </c>
      <c r="C34" s="59">
        <v>883.52</v>
      </c>
      <c r="D34" s="59">
        <v>335.26</v>
      </c>
      <c r="E34" s="59">
        <v>876.342438252442</v>
      </c>
      <c r="F34" s="59">
        <v>890.697561747557</v>
      </c>
      <c r="G34" s="59">
        <v>612.13640625</v>
      </c>
      <c r="H34" s="60">
        <v>60.09156153361</v>
      </c>
      <c r="I34" s="59">
        <v>609.097671363324</v>
      </c>
      <c r="J34" s="59">
        <v>615.175141136675</v>
      </c>
      <c r="K34" s="59">
        <v>423.6468</v>
      </c>
      <c r="L34" s="59">
        <v>2730.49855599999</v>
      </c>
      <c r="M34" s="59">
        <v>403.163164333713</v>
      </c>
      <c r="N34" s="59">
        <v>444.130435666287</v>
      </c>
      <c r="O34" s="59">
        <v>228.266799999999</v>
      </c>
      <c r="P34" s="59">
        <v>7446.67422266666</v>
      </c>
      <c r="Q34" s="59">
        <v>194.439507058473</v>
      </c>
      <c r="R34" s="59">
        <v>262.094092941526</v>
      </c>
      <c r="V34" s="58" t="s">
        <v>111</v>
      </c>
      <c r="W34" s="59">
        <v>883.52</v>
      </c>
      <c r="X34" s="70">
        <v>3</v>
      </c>
      <c r="Y34"/>
      <c r="Z34" s="71"/>
      <c r="AA34" s="71"/>
      <c r="DN34" s="43"/>
      <c r="DO34" s="43"/>
    </row>
    <row r="35" ht="17.4" spans="1:119">
      <c r="A35" s="57"/>
      <c r="B35" s="58" t="s">
        <v>112</v>
      </c>
      <c r="C35" s="59">
        <v>1611.16</v>
      </c>
      <c r="D35" s="59">
        <v>38674.0566666666</v>
      </c>
      <c r="E35" s="59">
        <v>1534.07037525304</v>
      </c>
      <c r="F35" s="59">
        <v>1688.24962474695</v>
      </c>
      <c r="G35" s="59">
        <v>614.46453125</v>
      </c>
      <c r="H35" s="60">
        <v>50.5281638081868</v>
      </c>
      <c r="I35" s="59">
        <v>611.678071172514</v>
      </c>
      <c r="J35" s="59">
        <v>617.250991327485</v>
      </c>
      <c r="K35" s="59">
        <v>289.997999999999</v>
      </c>
      <c r="L35" s="59">
        <v>571.611041666666</v>
      </c>
      <c r="M35" s="59">
        <v>280.625911699804</v>
      </c>
      <c r="N35" s="59">
        <v>299.370088300195</v>
      </c>
      <c r="O35" s="59">
        <v>189.939199999999</v>
      </c>
      <c r="P35" s="59">
        <v>3012.28895766666</v>
      </c>
      <c r="Q35" s="59">
        <v>168.424545217947</v>
      </c>
      <c r="R35" s="59">
        <v>211.453854782052</v>
      </c>
      <c r="V35" s="58" t="s">
        <v>112</v>
      </c>
      <c r="W35" s="59">
        <v>1611.16</v>
      </c>
      <c r="X35" s="68">
        <v>3</v>
      </c>
      <c r="Y35"/>
      <c r="Z35" s="69"/>
      <c r="AA35" s="69"/>
      <c r="DN35" s="43"/>
      <c r="DO35" s="43"/>
    </row>
    <row r="36" ht="17.4" spans="1:119">
      <c r="A36" s="57"/>
      <c r="B36" s="58" t="s">
        <v>113</v>
      </c>
      <c r="C36" s="59">
        <v>852.76</v>
      </c>
      <c r="D36" s="59">
        <v>392.19</v>
      </c>
      <c r="E36" s="59">
        <v>844.996915293518</v>
      </c>
      <c r="F36" s="59">
        <v>860.523084706481</v>
      </c>
      <c r="G36" s="59">
        <v>611.03</v>
      </c>
      <c r="H36" s="60">
        <v>107.269237162272</v>
      </c>
      <c r="I36" s="59">
        <v>606.970022160244</v>
      </c>
      <c r="J36" s="59">
        <v>615.089977839755</v>
      </c>
      <c r="K36" s="59">
        <v>431.9564</v>
      </c>
      <c r="L36" s="59">
        <v>2732.55314066666</v>
      </c>
      <c r="M36" s="59">
        <v>411.465059248175</v>
      </c>
      <c r="N36" s="59">
        <v>452.447740751824</v>
      </c>
      <c r="O36" s="59">
        <v>225.0484</v>
      </c>
      <c r="P36" s="59">
        <v>9615.33071399999</v>
      </c>
      <c r="Q36" s="59">
        <v>186.609745251998</v>
      </c>
      <c r="R36" s="59">
        <v>263.487054748002</v>
      </c>
      <c r="V36" s="58" t="s">
        <v>113</v>
      </c>
      <c r="W36" s="59">
        <v>852.76</v>
      </c>
      <c r="X36" s="72">
        <v>3</v>
      </c>
      <c r="Y36"/>
      <c r="DN36" s="43"/>
      <c r="DO36" s="43"/>
    </row>
    <row r="37" ht="17.4" spans="1:119">
      <c r="A37" s="57"/>
      <c r="B37" s="58" t="s">
        <v>114</v>
      </c>
      <c r="C37" s="59">
        <v>645.72</v>
      </c>
      <c r="D37" s="59">
        <v>1682.20999999999</v>
      </c>
      <c r="E37" s="59">
        <v>629.642216650296</v>
      </c>
      <c r="F37" s="59">
        <v>661.797783349703</v>
      </c>
      <c r="G37" s="59">
        <v>622.91234375</v>
      </c>
      <c r="H37" s="60">
        <v>1535.80468505859</v>
      </c>
      <c r="I37" s="59">
        <v>607.550120892456</v>
      </c>
      <c r="J37" s="59">
        <v>638.274566607543</v>
      </c>
      <c r="K37" s="59">
        <v>4625.05359999999</v>
      </c>
      <c r="L37" s="59">
        <v>380485013.024473</v>
      </c>
      <c r="M37" s="59">
        <v>-3021.30821732154</v>
      </c>
      <c r="N37" s="59">
        <v>12271.4154173215</v>
      </c>
      <c r="O37" s="59">
        <v>1345.3084</v>
      </c>
      <c r="P37" s="59">
        <v>18794544.3230223</v>
      </c>
      <c r="Q37" s="59">
        <v>-354.116461196547</v>
      </c>
      <c r="R37" s="59">
        <v>3044.73326119654</v>
      </c>
      <c r="V37" s="58" t="s">
        <v>114</v>
      </c>
      <c r="W37" s="59">
        <v>645.72</v>
      </c>
      <c r="X37" s="72">
        <v>3</v>
      </c>
      <c r="Y37"/>
      <c r="DN37" s="43"/>
      <c r="DO37" s="43"/>
    </row>
    <row r="38" ht="17.4" spans="1:119">
      <c r="A38" s="57"/>
      <c r="B38" s="58" t="s">
        <v>115</v>
      </c>
      <c r="C38" s="59">
        <v>574.4</v>
      </c>
      <c r="D38" s="59">
        <v>209.833333333333</v>
      </c>
      <c r="E38" s="59">
        <v>568.721634977096</v>
      </c>
      <c r="F38" s="59">
        <v>580.078365022903</v>
      </c>
      <c r="G38" s="59">
        <v>612.435625</v>
      </c>
      <c r="H38" s="60">
        <v>43.9414725240071</v>
      </c>
      <c r="I38" s="59">
        <v>609.837121116237</v>
      </c>
      <c r="J38" s="59">
        <v>615.034128883762</v>
      </c>
      <c r="K38" s="59">
        <v>660.0956</v>
      </c>
      <c r="L38" s="59">
        <v>7381.29484233333</v>
      </c>
      <c r="M38" s="59">
        <v>626.417130755506</v>
      </c>
      <c r="N38" s="59">
        <v>693.774069244493</v>
      </c>
      <c r="O38" s="59">
        <v>415.690799999999</v>
      </c>
      <c r="P38" s="59">
        <v>18704.190291</v>
      </c>
      <c r="Q38" s="59">
        <v>362.079600639453</v>
      </c>
      <c r="R38" s="59">
        <v>469.301999360546</v>
      </c>
      <c r="V38" s="58" t="s">
        <v>115</v>
      </c>
      <c r="W38" s="59">
        <v>574.4</v>
      </c>
      <c r="X38" s="72">
        <v>2</v>
      </c>
    </row>
    <row r="39" ht="17.4" spans="1:119">
      <c r="A39" s="57"/>
      <c r="B39" s="58" t="s">
        <v>116</v>
      </c>
      <c r="C39" s="59">
        <v>525.8</v>
      </c>
      <c r="D39" s="59">
        <v>753.416666666666</v>
      </c>
      <c r="E39" s="59">
        <v>515.040212889342</v>
      </c>
      <c r="F39" s="59">
        <v>536.559787110657</v>
      </c>
      <c r="G39" s="59">
        <v>610.24421875</v>
      </c>
      <c r="H39" s="60">
        <v>109.761299285888</v>
      </c>
      <c r="I39" s="59">
        <v>606.137351294935</v>
      </c>
      <c r="J39" s="59">
        <v>614.351086205064</v>
      </c>
      <c r="K39" s="59">
        <v>882.098</v>
      </c>
      <c r="L39" s="59">
        <v>5605.65075</v>
      </c>
      <c r="M39" s="59">
        <v>852.748609600061</v>
      </c>
      <c r="N39" s="59">
        <v>911.447390399938</v>
      </c>
      <c r="O39" s="59">
        <v>534.0468</v>
      </c>
      <c r="P39" s="59">
        <v>28449.8810226666</v>
      </c>
      <c r="Q39" s="59">
        <v>467.927797304352</v>
      </c>
      <c r="R39" s="59">
        <v>600.165802695647</v>
      </c>
      <c r="V39" s="58" t="s">
        <v>116</v>
      </c>
      <c r="W39" s="59">
        <v>525.8</v>
      </c>
      <c r="X39" s="72">
        <v>2</v>
      </c>
    </row>
    <row r="40" ht="17.4" spans="1:119">
      <c r="A40" s="57"/>
      <c r="B40" s="58" t="s">
        <v>117</v>
      </c>
      <c r="C40" s="59">
        <v>568.04</v>
      </c>
      <c r="D40" s="59">
        <v>554.623333333333</v>
      </c>
      <c r="E40" s="59">
        <v>558.808226611677</v>
      </c>
      <c r="F40" s="59">
        <v>577.271773388322</v>
      </c>
      <c r="G40" s="59">
        <v>615.56671875</v>
      </c>
      <c r="H40" s="60">
        <v>78.9972355143229</v>
      </c>
      <c r="I40" s="59">
        <v>612.082607500617</v>
      </c>
      <c r="J40" s="59">
        <v>619.050829999382</v>
      </c>
      <c r="K40" s="59">
        <v>809.172</v>
      </c>
      <c r="L40" s="59">
        <v>7111.60595</v>
      </c>
      <c r="M40" s="59">
        <v>776.114507404511</v>
      </c>
      <c r="N40" s="59">
        <v>842.229492595489</v>
      </c>
      <c r="O40" s="59">
        <v>505.972</v>
      </c>
      <c r="P40" s="59">
        <v>18063.5944999999</v>
      </c>
      <c r="Q40" s="59">
        <v>453.286858021943</v>
      </c>
      <c r="R40" s="59">
        <v>558.657141978056</v>
      </c>
      <c r="V40" s="58" t="s">
        <v>117</v>
      </c>
      <c r="W40" s="59">
        <v>568.04</v>
      </c>
      <c r="X40" s="72">
        <v>2</v>
      </c>
    </row>
    <row r="41" ht="17.4" spans="1:119">
      <c r="A41" s="57"/>
      <c r="B41" s="58" t="s">
        <v>118</v>
      </c>
      <c r="C41" s="59">
        <v>539.76</v>
      </c>
      <c r="D41" s="59">
        <v>379.94</v>
      </c>
      <c r="E41" s="59">
        <v>532.119116532756</v>
      </c>
      <c r="F41" s="59">
        <v>547.400883467243</v>
      </c>
      <c r="G41" s="59">
        <v>616.0546875</v>
      </c>
      <c r="H41" s="60">
        <v>16.0674057006835</v>
      </c>
      <c r="I41" s="59">
        <v>614.483388091997</v>
      </c>
      <c r="J41" s="59">
        <v>617.625986908002</v>
      </c>
      <c r="K41" s="59">
        <v>852.71</v>
      </c>
      <c r="L41" s="59">
        <v>8028.6469</v>
      </c>
      <c r="M41" s="59">
        <v>817.585734922398</v>
      </c>
      <c r="N41" s="59">
        <v>887.834265077601</v>
      </c>
      <c r="O41" s="59">
        <v>586.044</v>
      </c>
      <c r="P41" s="59">
        <v>17927.2026</v>
      </c>
      <c r="Q41" s="59">
        <v>533.558138472095</v>
      </c>
      <c r="R41" s="59">
        <v>638.529861527904</v>
      </c>
      <c r="V41" s="58" t="s">
        <v>118</v>
      </c>
      <c r="W41" s="59">
        <v>539.76</v>
      </c>
      <c r="X41" s="72">
        <v>2</v>
      </c>
    </row>
    <row r="42" ht="17.4" spans="1:119">
      <c r="A42" s="57"/>
      <c r="B42" s="58" t="s">
        <v>119</v>
      </c>
      <c r="C42" s="59">
        <v>1606.28</v>
      </c>
      <c r="D42" s="59">
        <v>48411992.7933333</v>
      </c>
      <c r="E42" s="59">
        <v>-1121.20610639811</v>
      </c>
      <c r="F42" s="59">
        <v>4333.76610639811</v>
      </c>
      <c r="G42" s="59">
        <v>532.2534375</v>
      </c>
      <c r="H42" s="60">
        <v>1442.35049224853</v>
      </c>
      <c r="I42" s="59">
        <v>517.365947918446</v>
      </c>
      <c r="J42" s="59">
        <v>547.140927081554</v>
      </c>
      <c r="K42" s="59">
        <v>1242.038</v>
      </c>
      <c r="L42" s="59">
        <v>93693.7576833333</v>
      </c>
      <c r="M42" s="59">
        <v>1122.04901058575</v>
      </c>
      <c r="N42" s="59">
        <v>1362.02698941424</v>
      </c>
      <c r="O42" s="59">
        <v>486.5432</v>
      </c>
      <c r="P42" s="59">
        <v>43754.8660226666</v>
      </c>
      <c r="Q42" s="59">
        <v>404.545957774989</v>
      </c>
      <c r="R42" s="59">
        <v>568.54044222501</v>
      </c>
      <c r="V42" s="58" t="s">
        <v>119</v>
      </c>
      <c r="W42" s="59">
        <v>1606.28</v>
      </c>
      <c r="X42" s="72">
        <v>1</v>
      </c>
    </row>
    <row r="43" ht="17.4" spans="1:119">
      <c r="A43" s="57"/>
      <c r="B43" s="58" t="s">
        <v>120</v>
      </c>
      <c r="C43" s="59">
        <v>653.28</v>
      </c>
      <c r="D43" s="59">
        <v>281.71</v>
      </c>
      <c r="E43" s="59">
        <v>646.700586238881</v>
      </c>
      <c r="F43" s="59">
        <v>659.859413761118</v>
      </c>
      <c r="G43" s="59">
        <v>612.096875</v>
      </c>
      <c r="H43" s="60">
        <v>38.9280077616373</v>
      </c>
      <c r="I43" s="59">
        <v>609.651096313224</v>
      </c>
      <c r="J43" s="59">
        <v>614.542653686775</v>
      </c>
      <c r="K43" s="59">
        <v>562.208</v>
      </c>
      <c r="L43" s="59">
        <v>2047.5042</v>
      </c>
      <c r="M43" s="59">
        <v>544.470252527764</v>
      </c>
      <c r="N43" s="59">
        <v>579.945747472235</v>
      </c>
      <c r="O43" s="59">
        <v>291.082</v>
      </c>
      <c r="P43" s="59">
        <v>16944.3589416666</v>
      </c>
      <c r="Q43" s="59">
        <v>240.05516419361</v>
      </c>
      <c r="R43" s="59">
        <v>342.108835806389</v>
      </c>
      <c r="V43" s="58" t="s">
        <v>120</v>
      </c>
      <c r="W43" s="59">
        <v>653.28</v>
      </c>
      <c r="X43" s="72">
        <v>2</v>
      </c>
    </row>
    <row r="44" ht="17.4" spans="1:119">
      <c r="A44" s="57"/>
      <c r="B44" s="58" t="s">
        <v>121</v>
      </c>
      <c r="C44" s="59">
        <v>696.68</v>
      </c>
      <c r="D44" s="59">
        <v>213.393333333333</v>
      </c>
      <c r="E44" s="59">
        <v>690.953668436657</v>
      </c>
      <c r="F44" s="59">
        <v>702.406331563342</v>
      </c>
      <c r="G44" s="59">
        <v>610.413125</v>
      </c>
      <c r="H44" s="60">
        <v>86.256739654541</v>
      </c>
      <c r="I44" s="59">
        <v>606.772444343546</v>
      </c>
      <c r="J44" s="59">
        <v>614.053805656453</v>
      </c>
      <c r="K44" s="59">
        <v>539.2224</v>
      </c>
      <c r="L44" s="59">
        <v>3168.242044</v>
      </c>
      <c r="M44" s="59">
        <v>517.157841417304</v>
      </c>
      <c r="N44" s="59">
        <v>561.286958582695</v>
      </c>
      <c r="O44" s="59">
        <v>295.1124</v>
      </c>
      <c r="P44" s="59">
        <v>13053.0674606666</v>
      </c>
      <c r="Q44" s="59">
        <v>250.326391489798</v>
      </c>
      <c r="R44" s="59">
        <v>339.898408510201</v>
      </c>
      <c r="V44" s="58" t="s">
        <v>121</v>
      </c>
      <c r="W44" s="59">
        <v>696.68</v>
      </c>
      <c r="X44" s="72">
        <v>2</v>
      </c>
    </row>
    <row r="45" ht="17.4" spans="1:119">
      <c r="A45" s="57"/>
      <c r="B45" s="58" t="s">
        <v>122</v>
      </c>
      <c r="C45" s="59">
        <v>1402.28</v>
      </c>
      <c r="D45" s="59">
        <v>480.46</v>
      </c>
      <c r="E45" s="59">
        <v>1393.68759606163</v>
      </c>
      <c r="F45" s="59">
        <v>1410.87240393836</v>
      </c>
      <c r="G45" s="59">
        <v>615.3753125</v>
      </c>
      <c r="H45" s="60">
        <v>48.5287245686848</v>
      </c>
      <c r="I45" s="59">
        <v>612.644540094228</v>
      </c>
      <c r="J45" s="59">
        <v>618.106084905771</v>
      </c>
      <c r="K45" s="59">
        <v>318.554</v>
      </c>
      <c r="L45" s="59">
        <v>608.418875</v>
      </c>
      <c r="M45" s="59">
        <v>308.884869842224</v>
      </c>
      <c r="N45" s="59">
        <v>328.223130157775</v>
      </c>
      <c r="O45" s="59">
        <v>209.196</v>
      </c>
      <c r="P45" s="59">
        <v>3178.6854</v>
      </c>
      <c r="Q45" s="59">
        <v>187.09510605189</v>
      </c>
      <c r="R45" s="59">
        <v>231.296893948109</v>
      </c>
      <c r="V45" s="58" t="s">
        <v>122</v>
      </c>
      <c r="W45" s="59">
        <v>1402.28</v>
      </c>
      <c r="X45" s="72">
        <v>3</v>
      </c>
    </row>
    <row r="46" ht="17.4" spans="1:119">
      <c r="A46" s="57"/>
      <c r="B46" s="58" t="s">
        <v>123</v>
      </c>
      <c r="C46" s="59">
        <v>1314.96</v>
      </c>
      <c r="D46" s="59">
        <v>846.373333333333</v>
      </c>
      <c r="E46" s="59">
        <v>1303.55574150181</v>
      </c>
      <c r="F46" s="59">
        <v>1326.36425849818</v>
      </c>
      <c r="G46" s="59">
        <v>615.95921875</v>
      </c>
      <c r="H46" s="60">
        <v>21.2134464009602</v>
      </c>
      <c r="I46" s="59">
        <v>614.153742904756</v>
      </c>
      <c r="J46" s="59">
        <v>617.764694595243</v>
      </c>
      <c r="K46" s="59">
        <v>351.468</v>
      </c>
      <c r="L46" s="59">
        <v>1030.31471666666</v>
      </c>
      <c r="M46" s="59">
        <v>338.885381805766</v>
      </c>
      <c r="N46" s="59">
        <v>364.050618194233</v>
      </c>
      <c r="O46" s="59">
        <v>205.1704</v>
      </c>
      <c r="P46" s="59">
        <v>4978.67533733333</v>
      </c>
      <c r="Q46" s="59">
        <v>177.510986285389</v>
      </c>
      <c r="R46" s="59">
        <v>232.82981371461</v>
      </c>
      <c r="V46" s="58" t="s">
        <v>123</v>
      </c>
      <c r="W46" s="59">
        <v>1314.96</v>
      </c>
      <c r="X46" s="72">
        <v>3</v>
      </c>
    </row>
    <row r="47" ht="17.4" spans="1:119">
      <c r="A47" s="57"/>
      <c r="B47" s="58" t="s">
        <v>124</v>
      </c>
      <c r="C47" s="59">
        <v>1310.08</v>
      </c>
      <c r="D47" s="59">
        <v>746.659999999999</v>
      </c>
      <c r="E47" s="59">
        <v>1299.36856861852</v>
      </c>
      <c r="F47" s="59">
        <v>1320.79143138147</v>
      </c>
      <c r="G47" s="59">
        <v>615.3071875</v>
      </c>
      <c r="H47" s="60">
        <v>46.4840302530924</v>
      </c>
      <c r="I47" s="59">
        <v>612.634562942601</v>
      </c>
      <c r="J47" s="59">
        <v>617.979812057398</v>
      </c>
      <c r="K47" s="59">
        <v>357.0976</v>
      </c>
      <c r="L47" s="59">
        <v>828.067802333333</v>
      </c>
      <c r="M47" s="59">
        <v>345.817342433004</v>
      </c>
      <c r="N47" s="59">
        <v>368.377857566995</v>
      </c>
      <c r="O47" s="59">
        <v>227.7688</v>
      </c>
      <c r="P47" s="59">
        <v>3392.21812766666</v>
      </c>
      <c r="Q47" s="59">
        <v>204.937641326604</v>
      </c>
      <c r="R47" s="59">
        <v>250.599958673395</v>
      </c>
      <c r="V47" s="58" t="s">
        <v>124</v>
      </c>
      <c r="W47" s="59">
        <v>1310.08</v>
      </c>
      <c r="X47" s="72">
        <v>3</v>
      </c>
    </row>
    <row r="48" ht="17.4" spans="1:119">
      <c r="A48" s="57"/>
      <c r="B48" s="58" t="s">
        <v>125</v>
      </c>
      <c r="C48" s="59">
        <v>1385.28</v>
      </c>
      <c r="D48" s="59">
        <v>226.959999999999</v>
      </c>
      <c r="E48" s="59">
        <v>1379.37444486606</v>
      </c>
      <c r="F48" s="59">
        <v>1391.18555513393</v>
      </c>
      <c r="G48" s="59">
        <v>613.715625</v>
      </c>
      <c r="H48" s="60">
        <v>62.9959678649902</v>
      </c>
      <c r="I48" s="59">
        <v>610.604321028028</v>
      </c>
      <c r="J48" s="59">
        <v>616.826928971971</v>
      </c>
      <c r="K48" s="59">
        <v>329.549999999999</v>
      </c>
      <c r="L48" s="59">
        <v>1327.04143333333</v>
      </c>
      <c r="M48" s="59">
        <v>315.269996680261</v>
      </c>
      <c r="N48" s="59">
        <v>343.830003319738</v>
      </c>
      <c r="O48" s="59">
        <v>205.540799999999</v>
      </c>
      <c r="P48" s="59">
        <v>4696.03303266666</v>
      </c>
      <c r="Q48" s="59">
        <v>178.677977737034</v>
      </c>
      <c r="R48" s="59">
        <v>232.403622262965</v>
      </c>
      <c r="V48" s="58" t="s">
        <v>125</v>
      </c>
      <c r="W48" s="59">
        <v>1385.28</v>
      </c>
      <c r="X48" s="72">
        <v>3</v>
      </c>
    </row>
    <row r="49" ht="17.4" spans="1:24">
      <c r="A49" s="57"/>
      <c r="B49" s="58" t="s">
        <v>126</v>
      </c>
      <c r="C49" s="59">
        <v>609.08</v>
      </c>
      <c r="D49" s="59">
        <v>17010.1599999999</v>
      </c>
      <c r="E49" s="59">
        <v>557.954182390498</v>
      </c>
      <c r="F49" s="59">
        <v>660.205817609501</v>
      </c>
      <c r="G49" s="59">
        <v>526.12484375</v>
      </c>
      <c r="H49" s="60">
        <v>584.821118011474</v>
      </c>
      <c r="I49" s="59">
        <v>516.64507833739</v>
      </c>
      <c r="J49" s="59">
        <v>535.604609162609</v>
      </c>
      <c r="K49" s="59">
        <v>469.944</v>
      </c>
      <c r="L49" s="59">
        <v>10373.7414749999</v>
      </c>
      <c r="M49" s="59">
        <v>430.018186169667</v>
      </c>
      <c r="N49" s="59">
        <v>509.869813830332</v>
      </c>
      <c r="O49" s="59">
        <v>192.289199999999</v>
      </c>
      <c r="P49" s="59">
        <v>12970.6615743333</v>
      </c>
      <c r="Q49" s="59">
        <v>147.644785565959</v>
      </c>
      <c r="R49" s="59">
        <v>236.93361443404</v>
      </c>
      <c r="V49" s="58" t="s">
        <v>126</v>
      </c>
      <c r="W49" s="59">
        <v>609.08</v>
      </c>
      <c r="X49" s="72">
        <v>1</v>
      </c>
    </row>
    <row r="50" ht="17.4" spans="1:24">
      <c r="A50" s="57"/>
      <c r="B50" s="58" t="s">
        <v>127</v>
      </c>
      <c r="C50" s="59">
        <v>252.28</v>
      </c>
      <c r="D50" s="59">
        <v>705.96</v>
      </c>
      <c r="E50" s="59">
        <v>241.864596146092</v>
      </c>
      <c r="F50" s="59">
        <v>262.695403853907</v>
      </c>
      <c r="G50" s="59">
        <v>537.8653125</v>
      </c>
      <c r="H50" s="60">
        <v>1179.12702829996</v>
      </c>
      <c r="I50" s="59">
        <v>524.404652201311</v>
      </c>
      <c r="J50" s="59">
        <v>551.325972798688</v>
      </c>
      <c r="K50" s="59">
        <v>1121.95079999999</v>
      </c>
      <c r="L50" s="59">
        <v>8465.950441</v>
      </c>
      <c r="M50" s="59">
        <v>1085.88264495201</v>
      </c>
      <c r="N50" s="59">
        <v>1158.01895504798</v>
      </c>
      <c r="O50" s="59">
        <v>391.2236</v>
      </c>
      <c r="P50" s="59">
        <v>28181.880099</v>
      </c>
      <c r="Q50" s="59">
        <v>325.416758231588</v>
      </c>
      <c r="R50" s="59">
        <v>457.030441768411</v>
      </c>
      <c r="V50" s="58" t="s">
        <v>127</v>
      </c>
      <c r="W50" s="59">
        <v>252.28</v>
      </c>
      <c r="X50" s="72">
        <v>1</v>
      </c>
    </row>
    <row r="51" ht="17.4" spans="1:24">
      <c r="A51" s="57"/>
      <c r="B51" s="58" t="s">
        <v>128</v>
      </c>
      <c r="C51" s="59">
        <v>343.04</v>
      </c>
      <c r="D51" s="59">
        <v>210.956666666666</v>
      </c>
      <c r="E51" s="59">
        <v>337.34645582904</v>
      </c>
      <c r="F51" s="59">
        <v>348.733544170959</v>
      </c>
      <c r="G51" s="59">
        <v>608.3859375</v>
      </c>
      <c r="H51" s="60">
        <v>55.9438959757486</v>
      </c>
      <c r="I51" s="59">
        <v>605.453947931257</v>
      </c>
      <c r="J51" s="59">
        <v>611.317927068742</v>
      </c>
      <c r="K51" s="59">
        <v>979.7736</v>
      </c>
      <c r="L51" s="59">
        <v>3544.550124</v>
      </c>
      <c r="M51" s="59">
        <v>956.43543918441</v>
      </c>
      <c r="N51" s="59">
        <v>1003.11176081558</v>
      </c>
      <c r="O51" s="59">
        <v>447.369999999999</v>
      </c>
      <c r="P51" s="59">
        <v>28437.8298666666</v>
      </c>
      <c r="Q51" s="59">
        <v>381.265002544198</v>
      </c>
      <c r="R51" s="59">
        <v>513.474997455801</v>
      </c>
      <c r="V51" s="58" t="s">
        <v>128</v>
      </c>
      <c r="W51" s="59">
        <v>343.04</v>
      </c>
      <c r="X51" s="72">
        <v>1</v>
      </c>
    </row>
    <row r="52" ht="17.4" spans="1:24">
      <c r="A52" s="57"/>
      <c r="B52" s="58" t="s">
        <v>129</v>
      </c>
      <c r="C52" s="59">
        <v>197.68</v>
      </c>
      <c r="D52" s="59">
        <v>91.9766666666667</v>
      </c>
      <c r="E52" s="59">
        <v>193.920544918918</v>
      </c>
      <c r="F52" s="59">
        <v>201.439455081081</v>
      </c>
      <c r="G52" s="59">
        <v>608.4328125</v>
      </c>
      <c r="H52" s="60">
        <v>110.718577067057</v>
      </c>
      <c r="I52" s="59">
        <v>604.308075002118</v>
      </c>
      <c r="J52" s="59">
        <v>612.557549997881</v>
      </c>
      <c r="K52" s="59">
        <v>1719.7572</v>
      </c>
      <c r="L52" s="59">
        <v>17435.8148459999</v>
      </c>
      <c r="M52" s="59">
        <v>1667.99565971673</v>
      </c>
      <c r="N52" s="59">
        <v>1771.51874028326</v>
      </c>
      <c r="O52" s="59">
        <v>991.8368</v>
      </c>
      <c r="P52" s="59">
        <v>130198.044222666</v>
      </c>
      <c r="Q52" s="59">
        <v>850.391572906853</v>
      </c>
      <c r="R52" s="59">
        <v>1133.28202709314</v>
      </c>
      <c r="V52" s="58" t="s">
        <v>129</v>
      </c>
      <c r="W52" s="59">
        <v>197.68</v>
      </c>
      <c r="X52" s="72">
        <v>1</v>
      </c>
    </row>
    <row r="53" ht="17.4" spans="1:24">
      <c r="A53" s="57"/>
      <c r="B53" s="64" t="s">
        <v>86</v>
      </c>
      <c r="C53" s="65">
        <v>18909.16</v>
      </c>
      <c r="D53" s="65">
        <v>47883410.0566666</v>
      </c>
      <c r="E53" s="65">
        <v>16196.6046875782</v>
      </c>
      <c r="F53" s="65">
        <v>21621.7153124217</v>
      </c>
      <c r="G53" s="65">
        <v>602.899993206521</v>
      </c>
      <c r="H53" s="66">
        <v>15.8428726597228</v>
      </c>
      <c r="I53" s="65">
        <v>601.339711442101</v>
      </c>
      <c r="J53" s="65">
        <v>604.460274970942</v>
      </c>
      <c r="K53" s="65">
        <v>825.3576</v>
      </c>
      <c r="L53" s="65">
        <v>724819.340602333</v>
      </c>
      <c r="M53" s="65">
        <v>491.623215864476</v>
      </c>
      <c r="N53" s="65">
        <v>1159.09198413552</v>
      </c>
      <c r="O53" s="65">
        <v>390.8168</v>
      </c>
      <c r="P53" s="65">
        <v>34383.9064226666</v>
      </c>
      <c r="Q53" s="65">
        <v>318.128640052642</v>
      </c>
      <c r="R53" s="65">
        <v>463.504959947357</v>
      </c>
      <c r="V53" s="64" t="s">
        <v>86</v>
      </c>
      <c r="W53" s="65">
        <v>18909.16</v>
      </c>
      <c r="X53" s="72"/>
    </row>
    <row r="56" ht="18" spans="1:24">
      <c r="A56" s="49" t="s">
        <v>2</v>
      </c>
      <c r="B56" s="50" t="s">
        <v>3</v>
      </c>
      <c r="C56" s="55" t="s">
        <v>54</v>
      </c>
      <c r="D56" s="55" t="s">
        <v>55</v>
      </c>
      <c r="E56" s="55" t="s">
        <v>56</v>
      </c>
      <c r="F56" s="55" t="s">
        <v>57</v>
      </c>
      <c r="J56" s="73" t="s">
        <v>58</v>
      </c>
      <c r="K56" s="73"/>
    </row>
    <row r="57" ht="17.4" spans="1:24">
      <c r="A57" s="57">
        <v>1</v>
      </c>
      <c r="B57" s="58" t="s">
        <v>130</v>
      </c>
      <c r="C57" s="74">
        <f>C5-E5</f>
        <v>112.22153516256</v>
      </c>
      <c r="D57" s="75">
        <f>G5-I5</f>
        <v>7.53622003872294</v>
      </c>
      <c r="E57" s="75">
        <f>K5-M5</f>
        <v>23.116354715831</v>
      </c>
      <c r="F57" s="75">
        <f>O5-Q5</f>
        <v>32.562160671599</v>
      </c>
      <c r="G57"/>
      <c r="H57"/>
      <c r="J57" s="76" t="s">
        <v>60</v>
      </c>
      <c r="K57" s="74">
        <f>AVERAGE(C8,C29,C53)</f>
        <v>49546.56</v>
      </c>
    </row>
    <row r="58" ht="17.4" spans="1:24">
      <c r="A58" s="57"/>
      <c r="B58" s="58" t="s">
        <v>84</v>
      </c>
      <c r="C58" s="74">
        <f>C6-E6</f>
        <v>50.1766278085802</v>
      </c>
      <c r="D58" s="75">
        <f>G6-I6</f>
        <v>3.69567077211104</v>
      </c>
      <c r="E58" s="75">
        <f>K6-M6</f>
        <v>11.786516562876</v>
      </c>
      <c r="F58" s="75">
        <f>O6-Q6</f>
        <v>29.400902435484</v>
      </c>
      <c r="G58"/>
      <c r="H58"/>
      <c r="J58" s="76" t="s">
        <v>61</v>
      </c>
      <c r="K58" s="74">
        <f>VARP(C8,C29,C53)</f>
        <v>2779982063.15627</v>
      </c>
    </row>
    <row r="59" ht="17.4" spans="1:24">
      <c r="A59" s="57"/>
      <c r="B59" s="58" t="s">
        <v>131</v>
      </c>
      <c r="C59" s="74">
        <f>C7-E7</f>
        <v>90.4099710394898</v>
      </c>
      <c r="D59" s="75">
        <f>G7-I7</f>
        <v>4.66991615719201</v>
      </c>
      <c r="E59" s="75">
        <f>K7-M7</f>
        <v>10.558671569334</v>
      </c>
      <c r="F59" s="75">
        <f>O7-Q7</f>
        <v>22.866006071792</v>
      </c>
      <c r="G59"/>
      <c r="H59"/>
      <c r="J59" s="76" t="s">
        <v>63</v>
      </c>
      <c r="K59" s="74">
        <f>SQRT(K58)/SQRT(3)*3.182</f>
        <v>96863.586393844</v>
      </c>
    </row>
    <row r="60" ht="17.4" spans="1:24">
      <c r="A60" s="57"/>
      <c r="B60" s="64" t="s">
        <v>86</v>
      </c>
      <c r="C60" s="77">
        <f>C8-E8</f>
        <v>141.81566782986</v>
      </c>
      <c r="D60" s="78">
        <f>G8-I8</f>
        <v>3.38820584892289</v>
      </c>
      <c r="E60" s="78">
        <f>K8-M8</f>
        <v>9.19042274496201</v>
      </c>
      <c r="F60" s="78">
        <f>O8-Q8</f>
        <v>16.036991213286</v>
      </c>
      <c r="G60"/>
      <c r="H60"/>
      <c r="J60" s="76" t="s">
        <v>65</v>
      </c>
      <c r="K60" s="75">
        <f>AVERAGE(G8,G29,G53)</f>
        <v>597.277783325785</v>
      </c>
    </row>
    <row r="61" ht="17.4" spans="1:24">
      <c r="A61" s="57">
        <v>2</v>
      </c>
      <c r="B61" s="58" t="s">
        <v>87</v>
      </c>
      <c r="C61" s="74">
        <f t="shared" ref="C58:C105" si="0">C9-E9</f>
        <v>2.63204964492979</v>
      </c>
      <c r="D61" s="75">
        <f t="shared" ref="D58:D105" si="1">G9-I9</f>
        <v>0.688760789039975</v>
      </c>
      <c r="E61" s="75">
        <f t="shared" ref="E58:E105" si="2">K9-M9</f>
        <v>2.2286608098581</v>
      </c>
      <c r="F61" s="75">
        <f t="shared" ref="F58:F105" si="3">O9-Q9</f>
        <v>3.2468776782561</v>
      </c>
      <c r="G61"/>
      <c r="H61"/>
      <c r="J61" s="76" t="s">
        <v>66</v>
      </c>
      <c r="K61" s="75">
        <f>VARP(G8,G29,G53)</f>
        <v>830.631848153701</v>
      </c>
    </row>
    <row r="62" ht="17.4" spans="1:24">
      <c r="A62" s="57"/>
      <c r="B62" s="58" t="s">
        <v>88</v>
      </c>
      <c r="C62" s="74">
        <f t="shared" si="0"/>
        <v>3.26812980567047</v>
      </c>
      <c r="D62" s="75">
        <f t="shared" si="1"/>
        <v>15.889378922754</v>
      </c>
      <c r="E62" s="75">
        <f t="shared" si="2"/>
        <v>487.338152311536</v>
      </c>
      <c r="F62" s="75">
        <f t="shared" si="3"/>
        <v>2.1362925629255</v>
      </c>
      <c r="G62"/>
      <c r="H62"/>
      <c r="J62" s="76" t="s">
        <v>67</v>
      </c>
      <c r="K62" s="75">
        <f>SQRT(K61)/SQRT(3)*3.182</f>
        <v>52.9473022948459</v>
      </c>
    </row>
    <row r="63" ht="17.4" spans="1:24">
      <c r="A63" s="57"/>
      <c r="B63" s="58" t="s">
        <v>89</v>
      </c>
      <c r="C63" s="74">
        <f t="shared" si="0"/>
        <v>2.92191236009057</v>
      </c>
      <c r="D63" s="75">
        <f t="shared" si="1"/>
        <v>0.547910286489923</v>
      </c>
      <c r="E63" s="75">
        <f t="shared" si="2"/>
        <v>2.93971789455429</v>
      </c>
      <c r="F63" s="75">
        <f t="shared" si="3"/>
        <v>2.1459553589641</v>
      </c>
      <c r="J63" s="76" t="s">
        <v>68</v>
      </c>
      <c r="K63" s="75">
        <f>AVERAGE(K8,K29,K53)</f>
        <v>523.7912</v>
      </c>
    </row>
    <row r="64" ht="17.4" spans="1:24">
      <c r="A64" s="57"/>
      <c r="B64" s="58" t="s">
        <v>90</v>
      </c>
      <c r="C64" s="74">
        <f t="shared" si="0"/>
        <v>2.46233004015994</v>
      </c>
      <c r="D64" s="75">
        <f t="shared" si="1"/>
        <v>0.54453850823802</v>
      </c>
      <c r="E64" s="75">
        <f t="shared" si="2"/>
        <v>2.2694601579195</v>
      </c>
      <c r="F64" s="75">
        <f t="shared" si="3"/>
        <v>2.8595692653806</v>
      </c>
      <c r="J64" s="76" t="s">
        <v>69</v>
      </c>
      <c r="K64" s="75">
        <f>VARP(K8,K29,K53)</f>
        <v>46129.1570193067</v>
      </c>
    </row>
    <row r="65" ht="17.4" spans="1:11">
      <c r="A65" s="57"/>
      <c r="B65" s="58" t="s">
        <v>91</v>
      </c>
      <c r="C65" s="74">
        <f t="shared" si="0"/>
        <v>3.63117000795955</v>
      </c>
      <c r="D65" s="75">
        <f t="shared" si="1"/>
        <v>160.067149153969</v>
      </c>
      <c r="E65" s="75">
        <f t="shared" si="2"/>
        <v>6236.80065148727</v>
      </c>
      <c r="F65" s="75">
        <f t="shared" si="3"/>
        <v>3.0149818694496</v>
      </c>
      <c r="J65" s="76" t="s">
        <v>70</v>
      </c>
      <c r="K65" s="75">
        <f>SQRT(K64)/SQRT(3)*3.182</f>
        <v>394.572948403693</v>
      </c>
    </row>
    <row r="66" ht="17.4" spans="1:11">
      <c r="A66" s="57"/>
      <c r="B66" s="58" t="s">
        <v>92</v>
      </c>
      <c r="C66" s="74">
        <f t="shared" si="0"/>
        <v>3.16865993126976</v>
      </c>
      <c r="D66" s="75">
        <f t="shared" si="1"/>
        <v>0.634292935156054</v>
      </c>
      <c r="E66" s="75">
        <f t="shared" si="2"/>
        <v>2.14180023343849</v>
      </c>
      <c r="F66" s="75">
        <f t="shared" si="3"/>
        <v>3.2127156079453</v>
      </c>
      <c r="J66" s="76" t="s">
        <v>71</v>
      </c>
      <c r="K66" s="75">
        <f>AVERAGE(O8,O29,O53)</f>
        <v>229.462533333333</v>
      </c>
    </row>
    <row r="67" ht="17.4" spans="1:11">
      <c r="A67" s="57"/>
      <c r="B67" s="58" t="s">
        <v>93</v>
      </c>
      <c r="C67" s="74">
        <f t="shared" si="0"/>
        <v>3.64756649471019</v>
      </c>
      <c r="D67" s="75">
        <f t="shared" si="1"/>
        <v>0.771228378406931</v>
      </c>
      <c r="E67" s="75">
        <f t="shared" si="2"/>
        <v>2.85450811219779</v>
      </c>
      <c r="F67" s="75">
        <f t="shared" si="3"/>
        <v>3.9172279522663</v>
      </c>
      <c r="J67" s="76" t="s">
        <v>17</v>
      </c>
      <c r="K67" s="75">
        <f>VARP(O8,O29,O53)</f>
        <v>13240.6303846756</v>
      </c>
    </row>
    <row r="68" ht="17.4" spans="1:11">
      <c r="A68" s="57"/>
      <c r="B68" s="58" t="s">
        <v>94</v>
      </c>
      <c r="C68" s="74">
        <f t="shared" si="0"/>
        <v>3.73581004513926</v>
      </c>
      <c r="D68" s="75">
        <f t="shared" si="1"/>
        <v>154.942374821264</v>
      </c>
      <c r="E68" s="75">
        <f t="shared" si="2"/>
        <v>4329.49945206843</v>
      </c>
      <c r="F68" s="75">
        <f t="shared" si="3"/>
        <v>1846.47843334292</v>
      </c>
      <c r="J68" s="76" t="s">
        <v>72</v>
      </c>
      <c r="K68" s="75">
        <f>SQRT(K67)/SQRT(3)*3.182</f>
        <v>211.394595076765</v>
      </c>
    </row>
    <row r="69" ht="17.4" spans="1:11">
      <c r="A69" s="57"/>
      <c r="B69" s="58" t="s">
        <v>95</v>
      </c>
      <c r="C69" s="74">
        <f t="shared" si="0"/>
        <v>2.5209186473794</v>
      </c>
      <c r="D69" s="75">
        <f t="shared" si="1"/>
        <v>0.612190149751996</v>
      </c>
      <c r="E69" s="75">
        <f t="shared" si="2"/>
        <v>2.3239631975881</v>
      </c>
      <c r="F69" s="75">
        <f t="shared" si="3"/>
        <v>3.00301273194509</v>
      </c>
    </row>
    <row r="70" ht="17.4" spans="1:11">
      <c r="A70" s="57"/>
      <c r="B70" s="58" t="s">
        <v>96</v>
      </c>
      <c r="C70" s="74">
        <f t="shared" si="0"/>
        <v>3.05935846870034</v>
      </c>
      <c r="D70" s="75">
        <f t="shared" si="1"/>
        <v>0.567707827839058</v>
      </c>
      <c r="E70" s="75">
        <f t="shared" si="2"/>
        <v>2.4140647216952</v>
      </c>
      <c r="F70" s="75">
        <f t="shared" si="3"/>
        <v>3.050891257713</v>
      </c>
    </row>
    <row r="71" ht="17.4" spans="1:11">
      <c r="A71" s="57"/>
      <c r="B71" s="58" t="s">
        <v>97</v>
      </c>
      <c r="C71" s="74">
        <f t="shared" si="0"/>
        <v>2.93345939123992</v>
      </c>
      <c r="D71" s="75">
        <f t="shared" si="1"/>
        <v>0.595607043276004</v>
      </c>
      <c r="E71" s="75">
        <f t="shared" si="2"/>
        <v>2.84742013850861</v>
      </c>
      <c r="F71" s="75">
        <f t="shared" si="3"/>
        <v>4.19665817305921</v>
      </c>
    </row>
    <row r="72" ht="17.4" spans="1:11">
      <c r="A72" s="57"/>
      <c r="B72" s="58" t="s">
        <v>98</v>
      </c>
      <c r="C72" s="74">
        <f t="shared" si="0"/>
        <v>2.73764597663012</v>
      </c>
      <c r="D72" s="75">
        <f t="shared" si="1"/>
        <v>0.53329125968196</v>
      </c>
      <c r="E72" s="75">
        <f t="shared" si="2"/>
        <v>3.3160223801835</v>
      </c>
      <c r="F72" s="75">
        <f t="shared" si="3"/>
        <v>4.854482914304</v>
      </c>
    </row>
    <row r="73" ht="17.4" spans="1:11">
      <c r="A73" s="57"/>
      <c r="B73" s="58" t="s">
        <v>99</v>
      </c>
      <c r="C73" s="74">
        <f t="shared" si="0"/>
        <v>4.1683690687596</v>
      </c>
      <c r="D73" s="75">
        <f t="shared" si="1"/>
        <v>15.813087580973</v>
      </c>
      <c r="E73" s="75">
        <f t="shared" si="2"/>
        <v>449.153808222154</v>
      </c>
      <c r="F73" s="75">
        <f t="shared" si="3"/>
        <v>418.363868115461</v>
      </c>
    </row>
    <row r="74" ht="17.4" spans="1:11">
      <c r="A74" s="57"/>
      <c r="B74" s="58" t="s">
        <v>100</v>
      </c>
      <c r="C74" s="74">
        <f t="shared" si="0"/>
        <v>2.71094760309006</v>
      </c>
      <c r="D74" s="75">
        <f t="shared" si="1"/>
        <v>15.987556190891</v>
      </c>
      <c r="E74" s="75">
        <f t="shared" si="2"/>
        <v>476.681689297346</v>
      </c>
      <c r="F74" s="75">
        <f t="shared" si="3"/>
        <v>476.391248613275</v>
      </c>
    </row>
    <row r="75" ht="17.4" spans="1:11">
      <c r="A75" s="57"/>
      <c r="B75" s="58" t="s">
        <v>101</v>
      </c>
      <c r="C75" s="74">
        <f t="shared" si="0"/>
        <v>3.51731270149048</v>
      </c>
      <c r="D75" s="75">
        <f t="shared" si="1"/>
        <v>0.590892411570053</v>
      </c>
      <c r="E75" s="75">
        <f t="shared" si="2"/>
        <v>3.09949099419289</v>
      </c>
      <c r="F75" s="75">
        <f t="shared" si="3"/>
        <v>3.59102156914119</v>
      </c>
    </row>
    <row r="76" ht="17.4" spans="1:11">
      <c r="A76" s="57"/>
      <c r="B76" s="58" t="s">
        <v>102</v>
      </c>
      <c r="C76" s="74">
        <f t="shared" si="0"/>
        <v>3.74628420350018</v>
      </c>
      <c r="D76" s="75">
        <f t="shared" si="1"/>
        <v>16.685129202221</v>
      </c>
      <c r="E76" s="75">
        <f t="shared" si="2"/>
        <v>486.474220947897</v>
      </c>
      <c r="F76" s="75">
        <f t="shared" si="3"/>
        <v>494.622832322618</v>
      </c>
    </row>
    <row r="77" ht="17.4" spans="1:11">
      <c r="A77" s="57"/>
      <c r="B77" s="58" t="s">
        <v>103</v>
      </c>
      <c r="C77" s="74">
        <f t="shared" si="0"/>
        <v>5.10288048329039</v>
      </c>
      <c r="D77" s="75">
        <f t="shared" si="1"/>
        <v>0.576999050582003</v>
      </c>
      <c r="E77" s="75">
        <f t="shared" si="2"/>
        <v>2.2921896459156</v>
      </c>
      <c r="F77" s="75">
        <f t="shared" si="3"/>
        <v>3.03201477223141</v>
      </c>
    </row>
    <row r="78" ht="17.4" spans="1:11">
      <c r="A78" s="57"/>
      <c r="B78" s="58" t="s">
        <v>104</v>
      </c>
      <c r="C78" s="74">
        <f t="shared" si="0"/>
        <v>4.83025023510163</v>
      </c>
      <c r="D78" s="75">
        <f t="shared" si="1"/>
        <v>0.562112274191009</v>
      </c>
      <c r="E78" s="75">
        <f t="shared" si="2"/>
        <v>0.870051278035202</v>
      </c>
      <c r="F78" s="75">
        <f t="shared" si="3"/>
        <v>0.804164600358199</v>
      </c>
    </row>
    <row r="79" ht="17.4" spans="1:11">
      <c r="A79" s="57"/>
      <c r="B79" s="58" t="s">
        <v>105</v>
      </c>
      <c r="C79" s="74">
        <f t="shared" si="0"/>
        <v>5.08407527874988</v>
      </c>
      <c r="D79" s="75">
        <f t="shared" si="1"/>
        <v>0.580825516694972</v>
      </c>
      <c r="E79" s="75">
        <f t="shared" si="2"/>
        <v>1.8135852639483</v>
      </c>
      <c r="F79" s="75">
        <f t="shared" si="3"/>
        <v>2.3732856273019</v>
      </c>
    </row>
    <row r="80" ht="17.4" spans="1:11">
      <c r="A80" s="57"/>
      <c r="B80" s="58" t="s">
        <v>106</v>
      </c>
      <c r="C80" s="74">
        <f t="shared" si="0"/>
        <v>2.53762606123928</v>
      </c>
      <c r="D80" s="75">
        <f t="shared" si="1"/>
        <v>1.23132178671904</v>
      </c>
      <c r="E80" s="75">
        <f t="shared" si="2"/>
        <v>2.58947420409929</v>
      </c>
      <c r="F80" s="75">
        <f t="shared" si="3"/>
        <v>2.6902360826782</v>
      </c>
    </row>
    <row r="81" ht="17.4" spans="1:6">
      <c r="A81" s="57"/>
      <c r="B81" s="64" t="s">
        <v>86</v>
      </c>
      <c r="C81" s="79">
        <f t="shared" si="0"/>
        <v>24.0346726569987</v>
      </c>
      <c r="D81" s="80">
        <f t="shared" si="1"/>
        <v>11.981535161955</v>
      </c>
      <c r="E81" s="80">
        <f t="shared" si="2"/>
        <v>402.86273273963</v>
      </c>
      <c r="F81" s="80">
        <f t="shared" si="3"/>
        <v>116.285411501458</v>
      </c>
    </row>
    <row r="82" ht="17.4" spans="1:6">
      <c r="A82" s="57">
        <v>3</v>
      </c>
      <c r="B82" s="58" t="s">
        <v>107</v>
      </c>
      <c r="C82" s="74">
        <f t="shared" si="0"/>
        <v>11.436506226408</v>
      </c>
      <c r="D82" s="75">
        <f t="shared" si="1"/>
        <v>3.85791036640592</v>
      </c>
      <c r="E82" s="75">
        <f t="shared" si="2"/>
        <v>13.301182109747</v>
      </c>
      <c r="F82" s="75">
        <f t="shared" si="3"/>
        <v>27.106621188265</v>
      </c>
    </row>
    <row r="83" ht="17.4" spans="1:6">
      <c r="A83" s="57"/>
      <c r="B83" s="58" t="s">
        <v>108</v>
      </c>
      <c r="C83" s="74">
        <f t="shared" si="0"/>
        <v>6.307100117593</v>
      </c>
      <c r="D83" s="75">
        <f t="shared" si="1"/>
        <v>2.94234593329702</v>
      </c>
      <c r="E83" s="75">
        <f t="shared" si="2"/>
        <v>17.5459929495649</v>
      </c>
      <c r="F83" s="75">
        <f t="shared" si="3"/>
        <v>34.734653916791</v>
      </c>
    </row>
    <row r="84" ht="17.4" spans="1:6">
      <c r="A84" s="57"/>
      <c r="B84" s="58" t="s">
        <v>109</v>
      </c>
      <c r="C84" s="74">
        <f t="shared" si="0"/>
        <v>6.86492623121399</v>
      </c>
      <c r="D84" s="75">
        <f t="shared" si="1"/>
        <v>15.044685978186</v>
      </c>
      <c r="E84" s="75">
        <f t="shared" si="2"/>
        <v>56.9318117685231</v>
      </c>
      <c r="F84" s="75">
        <f t="shared" si="3"/>
        <v>63.932395817418</v>
      </c>
    </row>
    <row r="85" ht="17.4" spans="1:6">
      <c r="A85" s="57"/>
      <c r="B85" s="58" t="s">
        <v>110</v>
      </c>
      <c r="C85" s="74">
        <f t="shared" si="0"/>
        <v>6.29938023618206</v>
      </c>
      <c r="D85" s="75">
        <f t="shared" si="1"/>
        <v>2.72586478062306</v>
      </c>
      <c r="E85" s="75">
        <f t="shared" si="2"/>
        <v>21.4619573071591</v>
      </c>
      <c r="F85" s="75">
        <f t="shared" si="3"/>
        <v>46.357710052798</v>
      </c>
    </row>
    <row r="86" ht="17.4" spans="1:6">
      <c r="A86" s="57"/>
      <c r="B86" s="58" t="s">
        <v>111</v>
      </c>
      <c r="C86" s="74">
        <f t="shared" si="0"/>
        <v>7.177561747558</v>
      </c>
      <c r="D86" s="75">
        <f t="shared" si="1"/>
        <v>3.03873488667602</v>
      </c>
      <c r="E86" s="75">
        <f t="shared" si="2"/>
        <v>20.483635666287</v>
      </c>
      <c r="F86" s="75">
        <f t="shared" si="3"/>
        <v>33.827292941526</v>
      </c>
    </row>
    <row r="87" ht="17.4" spans="1:6">
      <c r="A87" s="57"/>
      <c r="B87" s="58" t="s">
        <v>112</v>
      </c>
      <c r="C87" s="74">
        <f t="shared" si="0"/>
        <v>77.08962474696</v>
      </c>
      <c r="D87" s="75">
        <f t="shared" si="1"/>
        <v>2.78646007748603</v>
      </c>
      <c r="E87" s="75">
        <f t="shared" si="2"/>
        <v>9.372088300195</v>
      </c>
      <c r="F87" s="75">
        <f t="shared" si="3"/>
        <v>21.514654782052</v>
      </c>
    </row>
    <row r="88" ht="17.4" spans="1:6">
      <c r="A88" s="57"/>
      <c r="B88" s="58" t="s">
        <v>113</v>
      </c>
      <c r="C88" s="74">
        <f t="shared" si="0"/>
        <v>7.763084706482</v>
      </c>
      <c r="D88" s="75">
        <f t="shared" si="1"/>
        <v>4.05997783975602</v>
      </c>
      <c r="E88" s="75">
        <f t="shared" si="2"/>
        <v>20.491340751825</v>
      </c>
      <c r="F88" s="75">
        <f t="shared" si="3"/>
        <v>38.438654748002</v>
      </c>
    </row>
    <row r="89" ht="17.4" spans="1:6">
      <c r="A89" s="57"/>
      <c r="B89" s="58" t="s">
        <v>114</v>
      </c>
      <c r="C89" s="74">
        <f t="shared" si="0"/>
        <v>16.0777833497041</v>
      </c>
      <c r="D89" s="75">
        <f t="shared" si="1"/>
        <v>15.362222857544</v>
      </c>
      <c r="E89" s="75">
        <f t="shared" si="2"/>
        <v>7646.36181732153</v>
      </c>
      <c r="F89" s="75">
        <f t="shared" si="3"/>
        <v>1699.42486119655</v>
      </c>
    </row>
    <row r="90" ht="17.4" spans="1:6">
      <c r="A90" s="57"/>
      <c r="B90" s="58" t="s">
        <v>115</v>
      </c>
      <c r="C90" s="74">
        <f t="shared" si="0"/>
        <v>5.67836502290402</v>
      </c>
      <c r="D90" s="75">
        <f t="shared" si="1"/>
        <v>2.59850388376299</v>
      </c>
      <c r="E90" s="75">
        <f t="shared" si="2"/>
        <v>33.678469244494</v>
      </c>
      <c r="F90" s="75">
        <f t="shared" si="3"/>
        <v>53.611199360546</v>
      </c>
    </row>
    <row r="91" ht="17.4" spans="1:6">
      <c r="A91" s="57"/>
      <c r="B91" s="58" t="s">
        <v>116</v>
      </c>
      <c r="C91" s="74">
        <f t="shared" si="0"/>
        <v>10.759787110658</v>
      </c>
      <c r="D91" s="75">
        <f t="shared" si="1"/>
        <v>4.10686745506496</v>
      </c>
      <c r="E91" s="75">
        <f t="shared" si="2"/>
        <v>29.349390399939</v>
      </c>
      <c r="F91" s="75">
        <f t="shared" si="3"/>
        <v>66.119002695648</v>
      </c>
    </row>
    <row r="92" ht="17.4" spans="1:6">
      <c r="A92" s="57"/>
      <c r="B92" s="58" t="s">
        <v>117</v>
      </c>
      <c r="C92" s="74">
        <f t="shared" si="0"/>
        <v>9.23177338832295</v>
      </c>
      <c r="D92" s="75">
        <f t="shared" si="1"/>
        <v>3.48411124938298</v>
      </c>
      <c r="E92" s="75">
        <f t="shared" si="2"/>
        <v>33.0574925954891</v>
      </c>
      <c r="F92" s="75">
        <f t="shared" si="3"/>
        <v>52.685141978057</v>
      </c>
    </row>
    <row r="93" ht="17.4" spans="1:6">
      <c r="A93" s="57"/>
      <c r="B93" s="58" t="s">
        <v>118</v>
      </c>
      <c r="C93" s="74">
        <f t="shared" si="0"/>
        <v>7.64088346724395</v>
      </c>
      <c r="D93" s="75">
        <f t="shared" si="1"/>
        <v>1.57129940800303</v>
      </c>
      <c r="E93" s="75">
        <f t="shared" si="2"/>
        <v>35.124265077602</v>
      </c>
      <c r="F93" s="75">
        <f t="shared" si="3"/>
        <v>52.4858615279049</v>
      </c>
    </row>
    <row r="94" ht="17.4" spans="1:6">
      <c r="A94" s="57"/>
      <c r="B94" s="58" t="s">
        <v>119</v>
      </c>
      <c r="C94" s="74">
        <f t="shared" si="0"/>
        <v>2727.48610639811</v>
      </c>
      <c r="D94" s="75">
        <f t="shared" si="1"/>
        <v>14.8874895815541</v>
      </c>
      <c r="E94" s="75">
        <f t="shared" si="2"/>
        <v>119.98898941425</v>
      </c>
      <c r="F94" s="75">
        <f t="shared" si="3"/>
        <v>81.997242225011</v>
      </c>
    </row>
    <row r="95" ht="17.4" spans="1:6">
      <c r="A95" s="57"/>
      <c r="B95" s="58" t="s">
        <v>120</v>
      </c>
      <c r="C95" s="74">
        <f t="shared" si="0"/>
        <v>6.57941376111899</v>
      </c>
      <c r="D95" s="75">
        <f t="shared" si="1"/>
        <v>2.44577868677595</v>
      </c>
      <c r="E95" s="75">
        <f t="shared" si="2"/>
        <v>17.7377474722359</v>
      </c>
      <c r="F95" s="75">
        <f t="shared" si="3"/>
        <v>51.02683580639</v>
      </c>
    </row>
    <row r="96" ht="17.4" spans="1:6">
      <c r="A96" s="57"/>
      <c r="B96" s="58" t="s">
        <v>121</v>
      </c>
      <c r="C96" s="74">
        <f t="shared" si="0"/>
        <v>5.72633156334291</v>
      </c>
      <c r="D96" s="75">
        <f t="shared" si="1"/>
        <v>3.64068065645404</v>
      </c>
      <c r="E96" s="75">
        <f t="shared" si="2"/>
        <v>22.064558582696</v>
      </c>
      <c r="F96" s="75">
        <f t="shared" si="3"/>
        <v>44.786008510202</v>
      </c>
    </row>
    <row r="97" ht="17.4" spans="1:6">
      <c r="A97" s="57"/>
      <c r="B97" s="58" t="s">
        <v>122</v>
      </c>
      <c r="C97" s="74">
        <f t="shared" si="0"/>
        <v>8.5924039383699</v>
      </c>
      <c r="D97" s="75">
        <f t="shared" si="1"/>
        <v>2.73077240577197</v>
      </c>
      <c r="E97" s="75">
        <f t="shared" si="2"/>
        <v>9.66913015777595</v>
      </c>
      <c r="F97" s="75">
        <f t="shared" si="3"/>
        <v>22.10089394811</v>
      </c>
    </row>
    <row r="98" ht="17.4" spans="1:6">
      <c r="A98" s="57"/>
      <c r="B98" s="58" t="s">
        <v>123</v>
      </c>
      <c r="C98" s="74">
        <f t="shared" si="0"/>
        <v>11.4042584981901</v>
      </c>
      <c r="D98" s="75">
        <f t="shared" si="1"/>
        <v>1.80547584524402</v>
      </c>
      <c r="E98" s="75">
        <f t="shared" si="2"/>
        <v>12.582618194234</v>
      </c>
      <c r="F98" s="75">
        <f t="shared" si="3"/>
        <v>27.659413714611</v>
      </c>
    </row>
    <row r="99" ht="17.4" spans="1:6">
      <c r="A99" s="57"/>
      <c r="B99" s="58" t="s">
        <v>124</v>
      </c>
      <c r="C99" s="74">
        <f t="shared" si="0"/>
        <v>10.71143138148</v>
      </c>
      <c r="D99" s="75">
        <f t="shared" si="1"/>
        <v>2.6726245573991</v>
      </c>
      <c r="E99" s="75">
        <f t="shared" si="2"/>
        <v>11.280257566996</v>
      </c>
      <c r="F99" s="75">
        <f t="shared" si="3"/>
        <v>22.831158673396</v>
      </c>
    </row>
    <row r="100" ht="17.4" spans="1:6">
      <c r="A100" s="57"/>
      <c r="B100" s="58" t="s">
        <v>125</v>
      </c>
      <c r="C100" s="74">
        <f t="shared" si="0"/>
        <v>5.90555513393997</v>
      </c>
      <c r="D100" s="75">
        <f t="shared" si="1"/>
        <v>3.11130397197201</v>
      </c>
      <c r="E100" s="75">
        <f t="shared" si="2"/>
        <v>14.280003319738</v>
      </c>
      <c r="F100" s="75">
        <f t="shared" si="3"/>
        <v>26.862822262965</v>
      </c>
    </row>
    <row r="101" ht="17.4" spans="1:6">
      <c r="A101" s="57"/>
      <c r="B101" s="58" t="s">
        <v>126</v>
      </c>
      <c r="C101" s="74">
        <f t="shared" si="0"/>
        <v>51.1258176095021</v>
      </c>
      <c r="D101" s="75">
        <f t="shared" si="1"/>
        <v>9.47976541260994</v>
      </c>
      <c r="E101" s="75">
        <f t="shared" si="2"/>
        <v>39.925813830333</v>
      </c>
      <c r="F101" s="75">
        <f t="shared" si="3"/>
        <v>44.64441443404</v>
      </c>
    </row>
    <row r="102" ht="17.4" spans="1:6">
      <c r="A102" s="57"/>
      <c r="B102" s="58" t="s">
        <v>127</v>
      </c>
      <c r="C102" s="74">
        <f t="shared" si="0"/>
        <v>10.415403853908</v>
      </c>
      <c r="D102" s="75">
        <f t="shared" si="1"/>
        <v>13.4606602986889</v>
      </c>
      <c r="E102" s="75">
        <f t="shared" si="2"/>
        <v>36.0681550479801</v>
      </c>
      <c r="F102" s="75">
        <f t="shared" si="3"/>
        <v>65.806841768412</v>
      </c>
    </row>
    <row r="103" ht="17.4" spans="1:6">
      <c r="A103" s="57"/>
      <c r="B103" s="58" t="s">
        <v>128</v>
      </c>
      <c r="C103" s="74">
        <f t="shared" si="0"/>
        <v>5.69354417096002</v>
      </c>
      <c r="D103" s="75">
        <f t="shared" si="1"/>
        <v>2.93198956874301</v>
      </c>
      <c r="E103" s="75">
        <f t="shared" si="2"/>
        <v>23.33816081559</v>
      </c>
      <c r="F103" s="75">
        <f t="shared" si="3"/>
        <v>66.104997455801</v>
      </c>
    </row>
    <row r="104" ht="17.4" spans="1:6">
      <c r="A104" s="57"/>
      <c r="B104" s="58" t="s">
        <v>129</v>
      </c>
      <c r="C104" s="74">
        <f t="shared" si="0"/>
        <v>3.759455081082</v>
      </c>
      <c r="D104" s="75">
        <f t="shared" si="1"/>
        <v>4.12473749788194</v>
      </c>
      <c r="E104" s="75">
        <f t="shared" si="2"/>
        <v>51.7615402832701</v>
      </c>
      <c r="F104" s="75">
        <f t="shared" si="3"/>
        <v>141.445227093147</v>
      </c>
    </row>
    <row r="105" ht="17.4" spans="1:6">
      <c r="A105" s="57"/>
      <c r="B105" s="64" t="s">
        <v>86</v>
      </c>
      <c r="C105" s="79">
        <f t="shared" si="0"/>
        <v>2712.5553124218</v>
      </c>
      <c r="D105" s="80">
        <f t="shared" si="1"/>
        <v>1.56028176441998</v>
      </c>
      <c r="E105" s="80">
        <f t="shared" si="2"/>
        <v>333.734384135524</v>
      </c>
      <c r="F105" s="80">
        <f t="shared" si="3"/>
        <v>72.688159947358</v>
      </c>
    </row>
  </sheetData>
  <sortState ref="B27:R49">
    <sortCondition ref="B27:B49"/>
  </sortState>
  <mergeCells count="9">
    <mergeCell ref="Z3:AA3"/>
    <mergeCell ref="J56:K56"/>
    <mergeCell ref="A5:A8"/>
    <mergeCell ref="A9:A29"/>
    <mergeCell ref="A30:A53"/>
    <mergeCell ref="A57:A60"/>
    <mergeCell ref="A61:A81"/>
    <mergeCell ref="A82:A105"/>
    <mergeCell ref="A1:R3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2" sqref="A2"/>
    </sheetView>
  </sheetViews>
  <sheetFormatPr defaultColWidth="8.88888888888889" defaultRowHeight="14.4" outlineLevelRow="6" outlineLevelCol="3"/>
  <cols>
    <col min="1" max="1" width="15.6666666666667" customWidth="1"/>
    <col min="2" max="2" width="26.7777777777778" customWidth="1"/>
    <col min="4" max="4" width="13.3333333333333" customWidth="1"/>
  </cols>
  <sheetData>
    <row r="1" spans="1:4">
      <c r="A1" s="38" t="s">
        <v>132</v>
      </c>
      <c r="B1" s="38" t="s">
        <v>133</v>
      </c>
      <c r="C1" s="38" t="s">
        <v>134</v>
      </c>
      <c r="D1" s="38" t="s">
        <v>135</v>
      </c>
    </row>
    <row r="2" spans="1:4">
      <c r="A2" s="39" t="s">
        <v>136</v>
      </c>
      <c r="B2" s="40">
        <f>29</f>
        <v>29</v>
      </c>
      <c r="C2" s="40">
        <f>29+7+53+43+9</f>
        <v>141</v>
      </c>
      <c r="D2" s="40">
        <f>6+7+14+7+29</f>
        <v>63</v>
      </c>
    </row>
    <row r="3" spans="1:4">
      <c r="A3" s="39" t="s">
        <v>137</v>
      </c>
      <c r="B3" s="40">
        <f>11+18+34</f>
        <v>63</v>
      </c>
      <c r="C3" s="40">
        <v>162</v>
      </c>
      <c r="D3" s="40">
        <v>81</v>
      </c>
    </row>
    <row r="4" spans="1:4">
      <c r="A4" s="39" t="s">
        <v>138</v>
      </c>
      <c r="B4" s="40">
        <f>24+37+44</f>
        <v>105</v>
      </c>
      <c r="C4" s="40">
        <v>228</v>
      </c>
      <c r="D4" s="40">
        <v>192</v>
      </c>
    </row>
    <row r="5" spans="1:4">
      <c r="A5" s="39" t="s">
        <v>139</v>
      </c>
      <c r="B5" s="40">
        <v>85</v>
      </c>
      <c r="C5" s="40">
        <v>77</v>
      </c>
      <c r="D5" s="40">
        <v>54</v>
      </c>
    </row>
    <row r="6" spans="1:4">
      <c r="A6" s="39" t="s">
        <v>140</v>
      </c>
      <c r="B6" s="40">
        <v>163</v>
      </c>
      <c r="C6" s="40">
        <v>150</v>
      </c>
      <c r="D6" s="40">
        <v>101</v>
      </c>
    </row>
    <row r="7" spans="1:4">
      <c r="A7" s="39" t="s">
        <v>141</v>
      </c>
      <c r="B7" s="40">
        <v>0</v>
      </c>
      <c r="C7" s="40">
        <v>0</v>
      </c>
      <c r="D7" s="40">
        <v>0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17"/>
  <sheetViews>
    <sheetView tabSelected="1" zoomScale="77" zoomScaleNormal="77" topLeftCell="A53" workbookViewId="0">
      <selection activeCell="A87" sqref="A87"/>
    </sheetView>
  </sheetViews>
  <sheetFormatPr defaultColWidth="8.88888888888889" defaultRowHeight="14.4"/>
  <cols>
    <col min="1" max="1" width="22.5555555555556" customWidth="1"/>
    <col min="2" max="2" width="41.4444444444444" customWidth="1"/>
    <col min="3" max="3" width="44.8888888888889" customWidth="1"/>
    <col min="4" max="4" width="48.5555555555556" customWidth="1"/>
    <col min="5" max="5" width="47.4444444444444" customWidth="1"/>
    <col min="6" max="6" width="47.5555555555556" customWidth="1"/>
    <col min="7" max="7" width="45.8888888888889" customWidth="1"/>
    <col min="8" max="9" width="44.2222222222222" customWidth="1"/>
    <col min="10" max="10" width="35.6666666666667" customWidth="1"/>
    <col min="11" max="11" width="38.5555555555556" customWidth="1"/>
    <col min="12" max="12" width="25" customWidth="1"/>
    <col min="13" max="13" width="32.2222222222222" customWidth="1"/>
    <col min="14" max="14" width="34.2222222222222" customWidth="1"/>
    <col min="15" max="15" width="33.6666666666667" customWidth="1"/>
    <col min="16" max="16" width="57.7777777777778" customWidth="1"/>
    <col min="17" max="17" width="64.7777777777778" customWidth="1"/>
    <col min="18" max="18" width="38.4444444444444" customWidth="1"/>
    <col min="19" max="19" width="41.2222222222222" customWidth="1"/>
    <col min="20" max="20" width="31.1111111111111" customWidth="1"/>
    <col min="21" max="21" width="48.7777777777778" customWidth="1"/>
    <col min="22" max="22" width="19.1759259259259" customWidth="1"/>
  </cols>
  <sheetData>
    <row r="1" spans="1:9">
      <c r="A1" s="3" t="s">
        <v>142</v>
      </c>
      <c r="B1" s="3"/>
      <c r="C1" s="3"/>
      <c r="D1" s="3"/>
      <c r="E1" s="3"/>
      <c r="F1" s="3"/>
      <c r="G1" s="3"/>
      <c r="H1" s="3"/>
      <c r="I1" s="3"/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>
      <c r="A3" s="4" t="s">
        <v>143</v>
      </c>
      <c r="B3" s="4" t="s">
        <v>77</v>
      </c>
      <c r="C3" s="4" t="s">
        <v>78</v>
      </c>
      <c r="D3" s="4" t="s">
        <v>79</v>
      </c>
      <c r="E3" s="4" t="s">
        <v>33</v>
      </c>
      <c r="F3" s="4" t="s">
        <v>80</v>
      </c>
      <c r="G3" s="4" t="s">
        <v>30</v>
      </c>
      <c r="H3" s="4" t="s">
        <v>31</v>
      </c>
      <c r="I3" s="4" t="s">
        <v>144</v>
      </c>
    </row>
    <row r="4" spans="1:9">
      <c r="A4" s="5">
        <v>1</v>
      </c>
      <c r="B4" s="6">
        <v>3143</v>
      </c>
      <c r="C4" s="6">
        <v>1281</v>
      </c>
      <c r="D4" s="6">
        <v>843</v>
      </c>
      <c r="E4" s="6">
        <v>1241</v>
      </c>
      <c r="F4" s="6">
        <v>811</v>
      </c>
      <c r="G4" s="6">
        <v>823</v>
      </c>
      <c r="H4" s="6">
        <v>693</v>
      </c>
      <c r="I4" s="7">
        <f>SUM(B4:H4)</f>
        <v>8835</v>
      </c>
    </row>
    <row r="5" spans="1:9">
      <c r="A5" s="5">
        <v>2</v>
      </c>
      <c r="B5" s="8">
        <v>2086</v>
      </c>
      <c r="C5" s="8">
        <v>1237</v>
      </c>
      <c r="D5" s="8">
        <v>845</v>
      </c>
      <c r="E5" s="8">
        <v>1247</v>
      </c>
      <c r="F5" s="8">
        <v>941</v>
      </c>
      <c r="G5" s="8">
        <v>852</v>
      </c>
      <c r="H5" s="8">
        <v>731</v>
      </c>
      <c r="I5" s="9">
        <f t="shared" ref="I5:I29" si="0">SUM(B5:H5)</f>
        <v>7939</v>
      </c>
    </row>
    <row r="6" spans="1:9">
      <c r="A6" s="5">
        <v>3</v>
      </c>
      <c r="B6" s="8">
        <v>2123</v>
      </c>
      <c r="C6" s="8">
        <v>1255</v>
      </c>
      <c r="D6" s="8">
        <v>896</v>
      </c>
      <c r="E6" s="8">
        <v>1246</v>
      </c>
      <c r="F6" s="8">
        <v>835</v>
      </c>
      <c r="G6" s="6">
        <v>903</v>
      </c>
      <c r="H6" s="6">
        <v>1142</v>
      </c>
      <c r="I6" s="9">
        <f t="shared" si="0"/>
        <v>8400</v>
      </c>
    </row>
    <row r="7" spans="1:9">
      <c r="A7" s="5">
        <v>4</v>
      </c>
      <c r="B7" s="8">
        <v>2125</v>
      </c>
      <c r="C7" s="8">
        <v>1239</v>
      </c>
      <c r="D7" s="8">
        <v>852</v>
      </c>
      <c r="E7" s="8">
        <v>1253</v>
      </c>
      <c r="F7" s="8">
        <v>817</v>
      </c>
      <c r="G7" s="8">
        <v>854</v>
      </c>
      <c r="H7" s="8">
        <v>710</v>
      </c>
      <c r="I7" s="9">
        <f t="shared" si="0"/>
        <v>7850</v>
      </c>
    </row>
    <row r="8" spans="1:9">
      <c r="A8" s="5">
        <v>5</v>
      </c>
      <c r="B8" s="8">
        <v>2090</v>
      </c>
      <c r="C8" s="8">
        <v>1268</v>
      </c>
      <c r="D8" s="8">
        <v>844</v>
      </c>
      <c r="E8" s="8">
        <v>1241</v>
      </c>
      <c r="F8" s="8">
        <v>867</v>
      </c>
      <c r="G8" s="8">
        <v>841</v>
      </c>
      <c r="H8" s="8">
        <v>711</v>
      </c>
      <c r="I8" s="9">
        <f t="shared" si="0"/>
        <v>7862</v>
      </c>
    </row>
    <row r="9" spans="1:9">
      <c r="A9" s="5">
        <v>6</v>
      </c>
      <c r="B9" s="8">
        <v>2161</v>
      </c>
      <c r="C9" s="8">
        <v>1276</v>
      </c>
      <c r="D9" s="8">
        <v>884</v>
      </c>
      <c r="E9" s="8">
        <v>1307</v>
      </c>
      <c r="F9" s="8">
        <v>785</v>
      </c>
      <c r="G9" s="8">
        <v>841</v>
      </c>
      <c r="H9" s="8">
        <v>710</v>
      </c>
      <c r="I9" s="9">
        <f t="shared" si="0"/>
        <v>7964</v>
      </c>
    </row>
    <row r="10" spans="1:9">
      <c r="A10" s="5">
        <v>7</v>
      </c>
      <c r="B10" s="6">
        <v>9458</v>
      </c>
      <c r="C10" s="8">
        <v>1325</v>
      </c>
      <c r="D10" s="8">
        <v>836</v>
      </c>
      <c r="E10" s="8">
        <v>1248</v>
      </c>
      <c r="F10" s="8">
        <v>828</v>
      </c>
      <c r="G10" s="8">
        <v>853</v>
      </c>
      <c r="H10" s="8">
        <v>719</v>
      </c>
      <c r="I10" s="7">
        <f t="shared" si="0"/>
        <v>15267</v>
      </c>
    </row>
    <row r="11" spans="1:9">
      <c r="A11" s="5">
        <v>8</v>
      </c>
      <c r="B11" s="8">
        <v>2103</v>
      </c>
      <c r="C11" s="8">
        <v>1267</v>
      </c>
      <c r="D11" s="8">
        <v>847</v>
      </c>
      <c r="E11" s="8">
        <v>1249</v>
      </c>
      <c r="F11" s="8">
        <v>820</v>
      </c>
      <c r="G11" s="8">
        <v>888</v>
      </c>
      <c r="H11" s="8">
        <v>707</v>
      </c>
      <c r="I11" s="9">
        <f t="shared" si="0"/>
        <v>7881</v>
      </c>
    </row>
    <row r="12" spans="1:9">
      <c r="A12" s="5">
        <v>9</v>
      </c>
      <c r="B12" s="8">
        <v>2114</v>
      </c>
      <c r="C12" s="8">
        <v>1263</v>
      </c>
      <c r="D12" s="8">
        <v>833</v>
      </c>
      <c r="E12" s="8">
        <v>1241</v>
      </c>
      <c r="F12" s="8">
        <v>789</v>
      </c>
      <c r="G12" s="8">
        <v>845</v>
      </c>
      <c r="H12" s="8">
        <v>699</v>
      </c>
      <c r="I12" s="9">
        <f t="shared" si="0"/>
        <v>7784</v>
      </c>
    </row>
    <row r="13" spans="1:9">
      <c r="A13" s="5">
        <v>10</v>
      </c>
      <c r="B13" s="8">
        <v>2254</v>
      </c>
      <c r="C13" s="8">
        <v>1244</v>
      </c>
      <c r="D13" s="8">
        <v>1747</v>
      </c>
      <c r="E13" s="8">
        <v>1218</v>
      </c>
      <c r="F13" s="8">
        <v>789</v>
      </c>
      <c r="G13" s="8">
        <v>800</v>
      </c>
      <c r="H13" s="8">
        <v>710</v>
      </c>
      <c r="I13" s="9">
        <f t="shared" si="0"/>
        <v>8762</v>
      </c>
    </row>
    <row r="14" spans="1:9">
      <c r="A14" s="5">
        <v>11</v>
      </c>
      <c r="B14" s="8">
        <v>2023</v>
      </c>
      <c r="C14" s="8">
        <v>1857</v>
      </c>
      <c r="D14" s="8">
        <v>852</v>
      </c>
      <c r="E14" s="8">
        <v>1321</v>
      </c>
      <c r="F14" s="8">
        <v>847</v>
      </c>
      <c r="G14" s="8">
        <v>862</v>
      </c>
      <c r="H14" s="8">
        <v>786</v>
      </c>
      <c r="I14" s="9">
        <f t="shared" si="0"/>
        <v>8548</v>
      </c>
    </row>
    <row r="15" spans="1:9">
      <c r="A15" s="5">
        <v>12</v>
      </c>
      <c r="B15" s="8">
        <v>2182</v>
      </c>
      <c r="C15" s="8">
        <v>1290</v>
      </c>
      <c r="D15" s="8">
        <v>975</v>
      </c>
      <c r="E15" s="8">
        <v>1325</v>
      </c>
      <c r="F15" s="8">
        <v>834</v>
      </c>
      <c r="G15" s="8">
        <v>851</v>
      </c>
      <c r="H15" s="8">
        <v>720</v>
      </c>
      <c r="I15" s="9">
        <f t="shared" si="0"/>
        <v>8177</v>
      </c>
    </row>
    <row r="16" spans="1:9">
      <c r="A16" s="5">
        <v>13</v>
      </c>
      <c r="B16" s="8">
        <v>2159</v>
      </c>
      <c r="C16" s="8">
        <v>1242</v>
      </c>
      <c r="D16" s="8">
        <v>860</v>
      </c>
      <c r="E16" s="8">
        <v>1228</v>
      </c>
      <c r="F16" s="8">
        <v>906</v>
      </c>
      <c r="G16" s="8">
        <v>836</v>
      </c>
      <c r="H16" s="8">
        <v>714</v>
      </c>
      <c r="I16" s="9">
        <f t="shared" si="0"/>
        <v>7945</v>
      </c>
    </row>
    <row r="17" spans="1:15">
      <c r="A17" s="5">
        <v>14</v>
      </c>
      <c r="B17" s="8">
        <v>2145</v>
      </c>
      <c r="C17" s="8">
        <v>1295</v>
      </c>
      <c r="D17" s="8">
        <v>836</v>
      </c>
      <c r="E17" s="8">
        <v>1235</v>
      </c>
      <c r="F17" s="8">
        <v>817</v>
      </c>
      <c r="G17" s="8">
        <v>856</v>
      </c>
      <c r="H17" s="8">
        <v>846</v>
      </c>
      <c r="I17" s="9">
        <f t="shared" si="0"/>
        <v>8030</v>
      </c>
    </row>
    <row r="18" spans="1:15">
      <c r="A18" s="5">
        <v>15</v>
      </c>
      <c r="B18" s="8">
        <v>2128</v>
      </c>
      <c r="C18" s="8">
        <v>1344</v>
      </c>
      <c r="D18" s="8">
        <v>840</v>
      </c>
      <c r="E18" s="8">
        <v>1252</v>
      </c>
      <c r="F18" s="8">
        <v>822</v>
      </c>
      <c r="G18" s="8">
        <v>842</v>
      </c>
      <c r="H18" s="8">
        <v>706</v>
      </c>
      <c r="I18" s="9">
        <f t="shared" si="0"/>
        <v>7934</v>
      </c>
    </row>
    <row r="19" spans="1:15">
      <c r="A19" s="5">
        <v>16</v>
      </c>
      <c r="B19" s="8">
        <v>2122</v>
      </c>
      <c r="C19" s="8">
        <v>1264</v>
      </c>
      <c r="D19" s="8">
        <v>834</v>
      </c>
      <c r="E19" s="8">
        <v>1250</v>
      </c>
      <c r="F19" s="8">
        <v>812</v>
      </c>
      <c r="G19" s="8">
        <v>852</v>
      </c>
      <c r="H19" s="8">
        <v>710</v>
      </c>
      <c r="I19" s="9">
        <f t="shared" si="0"/>
        <v>7844</v>
      </c>
    </row>
    <row r="20" spans="1:15">
      <c r="A20" s="5">
        <v>17</v>
      </c>
      <c r="B20" s="8">
        <v>2318</v>
      </c>
      <c r="C20" s="8">
        <v>1233</v>
      </c>
      <c r="D20" s="8">
        <v>834</v>
      </c>
      <c r="E20" s="8">
        <v>1275</v>
      </c>
      <c r="F20" s="8">
        <v>815</v>
      </c>
      <c r="G20" s="8">
        <v>839</v>
      </c>
      <c r="H20" s="8">
        <v>699</v>
      </c>
      <c r="I20" s="9">
        <f t="shared" si="0"/>
        <v>8013</v>
      </c>
    </row>
    <row r="21" spans="1:15">
      <c r="A21" s="5">
        <v>18</v>
      </c>
      <c r="B21" s="8">
        <v>2070</v>
      </c>
      <c r="C21" s="8">
        <v>1622</v>
      </c>
      <c r="D21" s="8">
        <v>847</v>
      </c>
      <c r="E21" s="8">
        <v>1241</v>
      </c>
      <c r="F21" s="8">
        <v>797</v>
      </c>
      <c r="G21" s="8">
        <v>848</v>
      </c>
      <c r="H21" s="8">
        <v>696</v>
      </c>
      <c r="I21" s="9">
        <f t="shared" si="0"/>
        <v>8121</v>
      </c>
    </row>
    <row r="22" spans="1:15">
      <c r="A22" s="5">
        <v>19</v>
      </c>
      <c r="B22" s="8">
        <v>2137</v>
      </c>
      <c r="C22" s="8">
        <v>1240</v>
      </c>
      <c r="D22" s="8">
        <v>831</v>
      </c>
      <c r="E22" s="8">
        <v>2037</v>
      </c>
      <c r="F22" s="8">
        <v>803</v>
      </c>
      <c r="G22" s="8">
        <v>828</v>
      </c>
      <c r="H22" s="8">
        <v>708</v>
      </c>
      <c r="I22" s="9">
        <f t="shared" si="0"/>
        <v>8584</v>
      </c>
    </row>
    <row r="23" spans="1:15">
      <c r="A23" s="5">
        <v>20</v>
      </c>
      <c r="B23" s="8">
        <v>2062</v>
      </c>
      <c r="C23" s="8">
        <v>1259</v>
      </c>
      <c r="D23" s="8">
        <v>850</v>
      </c>
      <c r="E23" s="8">
        <v>1235</v>
      </c>
      <c r="F23" s="8">
        <v>1185</v>
      </c>
      <c r="G23" s="8">
        <v>858</v>
      </c>
      <c r="H23" s="8">
        <v>710</v>
      </c>
      <c r="I23" s="9">
        <f t="shared" si="0"/>
        <v>8159</v>
      </c>
    </row>
    <row r="24" spans="1:15">
      <c r="A24" s="5">
        <v>21</v>
      </c>
      <c r="B24" s="8">
        <v>2081</v>
      </c>
      <c r="C24" s="8">
        <v>1243</v>
      </c>
      <c r="D24" s="8">
        <v>847</v>
      </c>
      <c r="E24" s="8">
        <v>1236</v>
      </c>
      <c r="F24" s="8">
        <v>789</v>
      </c>
      <c r="G24" s="8">
        <v>843</v>
      </c>
      <c r="H24" s="8">
        <v>779</v>
      </c>
      <c r="I24" s="9">
        <f t="shared" si="0"/>
        <v>7818</v>
      </c>
    </row>
    <row r="25" spans="1:15">
      <c r="A25" s="5">
        <v>22</v>
      </c>
      <c r="B25" s="8">
        <v>2078</v>
      </c>
      <c r="C25" s="8">
        <v>1595</v>
      </c>
      <c r="D25" s="8">
        <v>866</v>
      </c>
      <c r="E25" s="8">
        <v>1232</v>
      </c>
      <c r="F25" s="8">
        <v>796</v>
      </c>
      <c r="G25" s="8">
        <v>837</v>
      </c>
      <c r="H25" s="8">
        <v>696</v>
      </c>
      <c r="I25" s="9">
        <f t="shared" si="0"/>
        <v>8100</v>
      </c>
    </row>
    <row r="26" spans="1:15">
      <c r="A26" s="5">
        <v>23</v>
      </c>
      <c r="B26" s="8">
        <v>2097</v>
      </c>
      <c r="C26" s="8">
        <v>1317</v>
      </c>
      <c r="D26" s="8">
        <v>847</v>
      </c>
      <c r="E26" s="8">
        <v>1725</v>
      </c>
      <c r="F26" s="8">
        <v>919</v>
      </c>
      <c r="G26" s="10">
        <v>870</v>
      </c>
      <c r="H26" s="8">
        <v>705</v>
      </c>
      <c r="I26" s="9">
        <f t="shared" si="0"/>
        <v>8480</v>
      </c>
    </row>
    <row r="27" spans="1:15">
      <c r="A27" s="5">
        <v>24</v>
      </c>
      <c r="B27" s="8">
        <v>2147</v>
      </c>
      <c r="C27" s="8">
        <v>1234</v>
      </c>
      <c r="D27" s="8">
        <v>838</v>
      </c>
      <c r="E27" s="8">
        <v>1228</v>
      </c>
      <c r="F27" s="8">
        <v>814</v>
      </c>
      <c r="G27" s="8">
        <v>897</v>
      </c>
      <c r="H27" s="8">
        <v>716</v>
      </c>
      <c r="I27" s="9">
        <f t="shared" si="0"/>
        <v>7874</v>
      </c>
    </row>
    <row r="28" spans="1:15">
      <c r="A28" s="5">
        <v>25</v>
      </c>
      <c r="B28" s="8">
        <v>2103</v>
      </c>
      <c r="C28" s="8">
        <v>1520</v>
      </c>
      <c r="D28" s="8">
        <v>899</v>
      </c>
      <c r="E28" s="8">
        <v>1237</v>
      </c>
      <c r="F28" s="8">
        <v>825</v>
      </c>
      <c r="G28" s="8">
        <v>843</v>
      </c>
      <c r="H28" s="8">
        <v>725</v>
      </c>
      <c r="I28" s="9">
        <f t="shared" si="0"/>
        <v>8152</v>
      </c>
    </row>
    <row r="29" spans="1:15">
      <c r="A29" s="11" t="s">
        <v>145</v>
      </c>
      <c r="B29" s="7">
        <f>MEDIAN(B4:B28)</f>
        <v>2123</v>
      </c>
      <c r="C29" s="7">
        <f>MEDIAN(C4:C28)</f>
        <v>1267</v>
      </c>
      <c r="D29" s="7">
        <f>MEDIAN(D4:D28)</f>
        <v>847</v>
      </c>
      <c r="E29" s="7">
        <f>MEDIAN(E4:E28)</f>
        <v>1246</v>
      </c>
      <c r="F29" s="7">
        <f>MEDIAN(F4:F28)</f>
        <v>817</v>
      </c>
      <c r="G29" s="7">
        <f>MEDIAN(G4:G28)</f>
        <v>848</v>
      </c>
      <c r="H29" s="7">
        <f>MEDIAN(H4:H28)</f>
        <v>710</v>
      </c>
      <c r="I29" s="7">
        <f>MEDIAN(I4:I28)</f>
        <v>8030</v>
      </c>
    </row>
    <row r="30" s="1" customFormat="1" ht="15" customHeight="1" spans="1:15">
      <c r="A30" s="12" t="s">
        <v>146</v>
      </c>
      <c r="B30" s="13">
        <f>MEDIAN(B5:B9,B11:B28)</f>
        <v>2122</v>
      </c>
      <c r="C30" s="13">
        <f>MEDIAN(C4:C13,C15:C20,C22:C24,C26:C27)</f>
        <v>1263</v>
      </c>
      <c r="D30" s="13">
        <f>MEDIAN(D16:D28,D14,D4:D12)</f>
        <v>847</v>
      </c>
      <c r="E30" s="13">
        <f>MEDIAN(E4:E21,E23:E25,E27:E28)</f>
        <v>1241</v>
      </c>
      <c r="F30" s="13">
        <f>MEDIAN(F4,F6:F15,F17:F22,F24:F25,F27:F28)</f>
        <v>815</v>
      </c>
      <c r="G30" s="13">
        <f>MEDIAN(G4:G5,G7:G10,G12:G13,G15:G25,G28)</f>
        <v>843</v>
      </c>
      <c r="H30" s="13">
        <f>MEDIAN(H4:H5,H7:H13,H15:H16,H18:H23,H25:H28)</f>
        <v>710</v>
      </c>
      <c r="I30" s="13">
        <f>MEDIAN(I11:I28,I4:I9)</f>
        <v>8021.5</v>
      </c>
      <c r="L30"/>
      <c r="M30"/>
      <c r="N30"/>
      <c r="O30"/>
    </row>
    <row r="31" s="1" customFormat="1" spans="1:15">
      <c r="A31" s="14"/>
      <c r="B31" s="13"/>
      <c r="C31" s="13"/>
      <c r="D31" s="13"/>
      <c r="E31" s="13"/>
      <c r="F31" s="13"/>
      <c r="G31" s="13"/>
      <c r="H31" s="13"/>
      <c r="I31" s="13"/>
      <c r="L31"/>
      <c r="M31"/>
      <c r="N31"/>
      <c r="O31"/>
    </row>
    <row r="32" s="2" customFormat="1" spans="1:15">
      <c r="A32" s="15" t="s">
        <v>147</v>
      </c>
      <c r="B32" s="16">
        <f>(B29-B30)/B30*100</f>
        <v>0.0471253534401508</v>
      </c>
      <c r="C32" s="16">
        <f t="shared" ref="C32:H32" si="1">(C29-C30)/C30*100</f>
        <v>0.316706254948535</v>
      </c>
      <c r="D32" s="16">
        <f t="shared" si="1"/>
        <v>0</v>
      </c>
      <c r="E32" s="16">
        <f t="shared" si="1"/>
        <v>0.40290088638195</v>
      </c>
      <c r="F32" s="16">
        <f t="shared" si="1"/>
        <v>0.245398773006135</v>
      </c>
      <c r="G32" s="16">
        <f t="shared" si="1"/>
        <v>0.593119810201661</v>
      </c>
      <c r="H32" s="16">
        <f t="shared" si="1"/>
        <v>0</v>
      </c>
      <c r="I32" s="16">
        <f>(I29-I30)/I30*100</f>
        <v>0.105965218475347</v>
      </c>
      <c r="L32"/>
      <c r="M32"/>
      <c r="N32"/>
      <c r="O32"/>
    </row>
    <row r="33" s="1" customFormat="1" spans="1:15">
      <c r="A33" s="17" t="s">
        <v>148</v>
      </c>
      <c r="B33" s="6">
        <f>AVERAGE(B4:B28)</f>
        <v>2460.36</v>
      </c>
      <c r="C33" s="6">
        <f t="shared" ref="C33:I33" si="2">AVERAGE(C4:C28)</f>
        <v>1328.4</v>
      </c>
      <c r="D33" s="6">
        <f t="shared" si="2"/>
        <v>891.32</v>
      </c>
      <c r="E33" s="6">
        <f t="shared" si="2"/>
        <v>1301.92</v>
      </c>
      <c r="F33" s="6">
        <f t="shared" si="2"/>
        <v>842.52</v>
      </c>
      <c r="G33" s="6">
        <f t="shared" si="2"/>
        <v>850.48</v>
      </c>
      <c r="H33" s="6">
        <f t="shared" si="2"/>
        <v>737.92</v>
      </c>
      <c r="I33" s="6">
        <f t="shared" si="2"/>
        <v>8412.92</v>
      </c>
      <c r="L33"/>
      <c r="M33"/>
      <c r="N33"/>
      <c r="O33"/>
    </row>
    <row r="34" s="1" customFormat="1" spans="1:15">
      <c r="A34" s="18" t="s">
        <v>149</v>
      </c>
      <c r="B34" s="8">
        <f>VARP(B4:B28)</f>
        <v>2083374.3104</v>
      </c>
      <c r="C34" s="8">
        <f t="shared" ref="C34:I34" si="3">VARP(C4:C28)</f>
        <v>22858.96</v>
      </c>
      <c r="D34" s="8">
        <f t="shared" si="3"/>
        <v>31421.2576</v>
      </c>
      <c r="E34" s="8">
        <f t="shared" si="3"/>
        <v>31825.5936</v>
      </c>
      <c r="F34" s="8">
        <f t="shared" si="3"/>
        <v>6462.4896</v>
      </c>
      <c r="G34" s="8">
        <f t="shared" si="3"/>
        <v>467.4496</v>
      </c>
      <c r="H34" s="8">
        <f t="shared" si="3"/>
        <v>7921.8336</v>
      </c>
      <c r="I34" s="8">
        <f t="shared" si="3"/>
        <v>2045994.5536</v>
      </c>
      <c r="L34"/>
      <c r="M34"/>
      <c r="N34"/>
      <c r="O34"/>
    </row>
    <row r="35" s="1" customFormat="1" spans="1:15">
      <c r="A35" s="18" t="s">
        <v>150</v>
      </c>
      <c r="B35" s="8">
        <f>SQRT(B34)/SQRT(25)*1.96</f>
        <v>565.808828168407</v>
      </c>
      <c r="C35" s="8">
        <f t="shared" ref="C35:I35" si="4">SQRT(C34)/SQRT(25)*1.96</f>
        <v>59.267185097995</v>
      </c>
      <c r="D35" s="8">
        <f t="shared" si="4"/>
        <v>69.4860858578637</v>
      </c>
      <c r="E35" s="8">
        <f t="shared" si="4"/>
        <v>69.9317382520297</v>
      </c>
      <c r="F35" s="8">
        <f t="shared" si="4"/>
        <v>31.5127276174945</v>
      </c>
      <c r="G35" s="8">
        <f t="shared" si="4"/>
        <v>8.47526845205507</v>
      </c>
      <c r="H35" s="8">
        <f t="shared" si="4"/>
        <v>34.8898357449616</v>
      </c>
      <c r="I35" s="8">
        <f t="shared" si="4"/>
        <v>560.71000266126</v>
      </c>
      <c r="L35"/>
      <c r="M35"/>
      <c r="N35"/>
      <c r="O35"/>
    </row>
    <row r="36" spans="1:15">
      <c r="A36" s="5" t="s">
        <v>151</v>
      </c>
      <c r="B36" s="8">
        <f>B33+B35</f>
        <v>3026.16882816841</v>
      </c>
      <c r="C36" s="8">
        <f t="shared" ref="C36:I36" si="5">C33+C35</f>
        <v>1387.667185098</v>
      </c>
      <c r="D36" s="8">
        <f t="shared" si="5"/>
        <v>960.806085857864</v>
      </c>
      <c r="E36" s="8">
        <f t="shared" si="5"/>
        <v>1371.85173825203</v>
      </c>
      <c r="F36" s="8">
        <f t="shared" si="5"/>
        <v>874.032727617495</v>
      </c>
      <c r="G36" s="8">
        <f t="shared" si="5"/>
        <v>858.955268452055</v>
      </c>
      <c r="H36" s="8">
        <f t="shared" si="5"/>
        <v>772.809835744962</v>
      </c>
      <c r="I36" s="8">
        <f t="shared" si="5"/>
        <v>8973.63000266126</v>
      </c>
    </row>
    <row r="37" spans="1:15">
      <c r="A37" s="12" t="s">
        <v>152</v>
      </c>
      <c r="B37" s="19">
        <f>AVERAGE(B5:B9,B11:B28)</f>
        <v>2126.4347826087</v>
      </c>
      <c r="C37" s="19">
        <f>AVERAGE(C4:C13,C15:C20,C22:C24,C26:C27)</f>
        <v>1267.42857142857</v>
      </c>
      <c r="D37" s="19">
        <f>AVERAGE(D16:D28,D14,D4:D12)</f>
        <v>850.478260869565</v>
      </c>
      <c r="E37" s="19">
        <f>AVERAGE(E4:E21,E23:E25,E27:E28)</f>
        <v>1251.5652173913</v>
      </c>
      <c r="F37" s="19">
        <f>AVERAGE(F4,F6:F15,F17:F22,F24:F25,F27:F28)</f>
        <v>814.857142857143</v>
      </c>
      <c r="G37" s="19">
        <f>AVERAGE(G4:G5,G7:G10,G12:G13,G15:G25,G28)</f>
        <v>842.1</v>
      </c>
      <c r="H37" s="19">
        <f>AVERAGE(H4:H5,H7:H13,H15:H16,H18:H23,H25:H28)</f>
        <v>709.285714285714</v>
      </c>
      <c r="I37" s="19">
        <f>AVERAGE(I11:I28,I4:I9)</f>
        <v>8127.33333333333</v>
      </c>
    </row>
    <row r="38" spans="1:15">
      <c r="A38" s="14"/>
      <c r="B38" s="19"/>
      <c r="C38" s="19"/>
      <c r="D38" s="19"/>
      <c r="E38" s="19"/>
      <c r="F38" s="19"/>
      <c r="G38" s="19"/>
      <c r="H38" s="19"/>
      <c r="I38" s="19"/>
    </row>
    <row r="39" spans="1:15">
      <c r="A39" s="20" t="s">
        <v>153</v>
      </c>
      <c r="B39" s="8">
        <f>VAR(B5:B9,B11:B28)</f>
        <v>3943.43873517786</v>
      </c>
      <c r="C39" s="8">
        <f>VARP(C4:C13,C15:C20,C22:C24,C26:C27)</f>
        <v>952.43537414966</v>
      </c>
      <c r="D39" s="8">
        <f>VARP(D16:D28,D14,D4:D12)</f>
        <v>346.771266540643</v>
      </c>
      <c r="E39" s="8">
        <f>VARP(E4:E21,E23:E25,E27:E28)</f>
        <v>781.810964083176</v>
      </c>
      <c r="F39" s="8">
        <f>VARP(F4,F6:F15,F17:F22,F24:F25,F27:F28)</f>
        <v>410.598639455782</v>
      </c>
      <c r="G39" s="8">
        <f>VARP(G4:G5,G7:G10,G12:G13,G15:G25,G28)</f>
        <v>171.89</v>
      </c>
      <c r="H39" s="8">
        <f>VARP(H4:H5,H7:H13,H15:H16,H18:H23,H25:H28)</f>
        <v>88.8707482993197</v>
      </c>
      <c r="I39" s="8">
        <f>VARP(I11:I28,I4:I9)</f>
        <v>92250.7222222222</v>
      </c>
    </row>
    <row r="40" spans="1:15">
      <c r="A40" s="20"/>
      <c r="B40" s="8"/>
      <c r="C40" s="8"/>
      <c r="D40" s="8"/>
      <c r="E40" s="8"/>
      <c r="F40" s="8"/>
      <c r="G40" s="8"/>
      <c r="H40" s="8"/>
      <c r="I40" s="8"/>
    </row>
    <row r="41" spans="1:15">
      <c r="A41" s="21" t="s">
        <v>154</v>
      </c>
      <c r="B41" s="22">
        <f>(B33-B37)/B37*100</f>
        <v>15.7035249856874</v>
      </c>
      <c r="C41" s="22">
        <f t="shared" ref="C41:I41" si="6">(C33-C37)/C37*100</f>
        <v>4.8106402164112</v>
      </c>
      <c r="D41" s="22">
        <f t="shared" si="6"/>
        <v>4.80220847604928</v>
      </c>
      <c r="E41" s="22">
        <f t="shared" si="6"/>
        <v>4.02334468144238</v>
      </c>
      <c r="F41" s="22">
        <f t="shared" si="6"/>
        <v>3.39481065918653</v>
      </c>
      <c r="G41" s="22">
        <f t="shared" si="6"/>
        <v>0.995131219570122</v>
      </c>
      <c r="H41" s="22">
        <f t="shared" si="6"/>
        <v>4.03705941591137</v>
      </c>
      <c r="I41" s="22">
        <f t="shared" si="6"/>
        <v>3.51390369945042</v>
      </c>
    </row>
    <row r="43" spans="1:15">
      <c r="A43" s="3" t="s">
        <v>155</v>
      </c>
      <c r="B43" s="3"/>
      <c r="C43" s="3"/>
      <c r="D43" s="3"/>
      <c r="E43" s="3"/>
      <c r="F43" s="3"/>
      <c r="G43" s="3"/>
      <c r="H43" s="3"/>
      <c r="I43" s="3"/>
      <c r="J43" s="3"/>
    </row>
    <row r="44" spans="1:15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5">
      <c r="A45" s="23" t="s">
        <v>143</v>
      </c>
      <c r="B45" s="24" t="s">
        <v>28</v>
      </c>
      <c r="C45" s="24" t="s">
        <v>27</v>
      </c>
      <c r="D45" s="24" t="s">
        <v>29</v>
      </c>
      <c r="E45" s="24" t="s">
        <v>33</v>
      </c>
      <c r="F45" s="24" t="s">
        <v>34</v>
      </c>
      <c r="G45" s="24" t="s">
        <v>30</v>
      </c>
      <c r="H45" s="24" t="s">
        <v>31</v>
      </c>
      <c r="I45" s="24" t="s">
        <v>32</v>
      </c>
      <c r="J45" s="24" t="s">
        <v>156</v>
      </c>
    </row>
    <row r="46" spans="1:15">
      <c r="A46" s="25">
        <v>1</v>
      </c>
      <c r="B46" s="9">
        <v>1384</v>
      </c>
      <c r="C46" s="9">
        <v>2098</v>
      </c>
      <c r="D46" s="9">
        <v>1253</v>
      </c>
      <c r="E46" s="9">
        <v>2988</v>
      </c>
      <c r="F46" s="9">
        <v>403</v>
      </c>
      <c r="G46" s="9">
        <v>610</v>
      </c>
      <c r="H46" s="9">
        <v>966</v>
      </c>
      <c r="I46" s="9">
        <v>415</v>
      </c>
      <c r="J46" s="9">
        <f>SUM(B46:I46)</f>
        <v>10117</v>
      </c>
    </row>
    <row r="47" spans="1:15">
      <c r="A47" s="25">
        <v>2</v>
      </c>
      <c r="B47" s="9">
        <v>1115</v>
      </c>
      <c r="C47" s="9">
        <v>2113</v>
      </c>
      <c r="D47" s="9">
        <v>1237</v>
      </c>
      <c r="E47" s="9">
        <v>3853</v>
      </c>
      <c r="F47" s="9">
        <v>606</v>
      </c>
      <c r="G47" s="9">
        <v>617</v>
      </c>
      <c r="H47" s="9">
        <v>940</v>
      </c>
      <c r="I47" s="9">
        <v>419</v>
      </c>
      <c r="J47" s="9">
        <f t="shared" ref="J47:J71" si="7">SUM(B47:I47)</f>
        <v>10900</v>
      </c>
    </row>
    <row r="48" spans="1:15">
      <c r="A48" s="25">
        <v>3</v>
      </c>
      <c r="B48" s="9">
        <v>1109</v>
      </c>
      <c r="C48" s="9">
        <v>2141</v>
      </c>
      <c r="D48" s="9">
        <v>1276</v>
      </c>
      <c r="E48" s="9">
        <v>3202</v>
      </c>
      <c r="F48" s="9">
        <v>425</v>
      </c>
      <c r="G48" s="9">
        <v>667</v>
      </c>
      <c r="H48" s="9">
        <v>975</v>
      </c>
      <c r="I48" s="9">
        <v>415</v>
      </c>
      <c r="J48" s="9">
        <f t="shared" si="7"/>
        <v>10210</v>
      </c>
    </row>
    <row r="49" spans="1:10">
      <c r="A49" s="25">
        <v>4</v>
      </c>
      <c r="B49" s="9">
        <v>1081</v>
      </c>
      <c r="C49" s="9">
        <v>2146</v>
      </c>
      <c r="D49" s="9">
        <v>1269</v>
      </c>
      <c r="E49" s="9">
        <v>3208</v>
      </c>
      <c r="F49" s="9">
        <v>390</v>
      </c>
      <c r="G49" s="9">
        <v>632</v>
      </c>
      <c r="H49" s="9">
        <v>950</v>
      </c>
      <c r="I49" s="9">
        <v>433</v>
      </c>
      <c r="J49" s="9">
        <f t="shared" si="7"/>
        <v>10109</v>
      </c>
    </row>
    <row r="50" spans="1:10">
      <c r="A50" s="25">
        <v>5</v>
      </c>
      <c r="B50" s="9">
        <v>1141</v>
      </c>
      <c r="C50" s="9">
        <v>2172</v>
      </c>
      <c r="D50" s="9">
        <v>1261</v>
      </c>
      <c r="E50" s="9">
        <v>3103</v>
      </c>
      <c r="F50" s="9">
        <v>433</v>
      </c>
      <c r="G50" s="9">
        <v>584</v>
      </c>
      <c r="H50" s="9">
        <v>955</v>
      </c>
      <c r="I50" s="9">
        <v>425</v>
      </c>
      <c r="J50" s="9">
        <f t="shared" si="7"/>
        <v>10074</v>
      </c>
    </row>
    <row r="51" spans="1:10">
      <c r="A51" s="25">
        <v>6</v>
      </c>
      <c r="B51" s="9">
        <v>1078</v>
      </c>
      <c r="C51" s="9">
        <v>2280</v>
      </c>
      <c r="D51" s="9">
        <v>1344</v>
      </c>
      <c r="E51" s="9">
        <v>3472</v>
      </c>
      <c r="F51" s="9">
        <v>435</v>
      </c>
      <c r="G51" s="9">
        <v>633</v>
      </c>
      <c r="H51" s="9">
        <v>986</v>
      </c>
      <c r="I51" s="9">
        <v>472</v>
      </c>
      <c r="J51" s="9">
        <f t="shared" si="7"/>
        <v>10700</v>
      </c>
    </row>
    <row r="52" spans="1:10">
      <c r="A52" s="25">
        <v>7</v>
      </c>
      <c r="B52" s="9">
        <v>1098</v>
      </c>
      <c r="C52" s="9">
        <v>2110</v>
      </c>
      <c r="D52" s="9">
        <v>1498</v>
      </c>
      <c r="E52" s="9">
        <v>3136</v>
      </c>
      <c r="F52" s="9">
        <v>421</v>
      </c>
      <c r="G52" s="9">
        <v>616</v>
      </c>
      <c r="H52" s="9">
        <v>948</v>
      </c>
      <c r="I52" s="9">
        <v>426</v>
      </c>
      <c r="J52" s="9">
        <f t="shared" si="7"/>
        <v>10253</v>
      </c>
    </row>
    <row r="53" spans="1:10">
      <c r="A53" s="25">
        <v>8</v>
      </c>
      <c r="B53" s="9">
        <v>1065</v>
      </c>
      <c r="C53" s="9">
        <v>2146</v>
      </c>
      <c r="D53" s="9">
        <v>1484</v>
      </c>
      <c r="E53" s="9">
        <v>3007</v>
      </c>
      <c r="F53" s="9">
        <v>404</v>
      </c>
      <c r="G53" s="9">
        <v>624</v>
      </c>
      <c r="H53" s="9">
        <v>923</v>
      </c>
      <c r="I53" s="9">
        <v>470</v>
      </c>
      <c r="J53" s="9">
        <f t="shared" si="7"/>
        <v>10123</v>
      </c>
    </row>
    <row r="54" spans="1:10">
      <c r="A54" s="25">
        <v>9</v>
      </c>
      <c r="B54" s="9">
        <v>1071</v>
      </c>
      <c r="C54" s="9">
        <v>2186</v>
      </c>
      <c r="D54" s="9">
        <v>1529</v>
      </c>
      <c r="E54" s="9">
        <v>3012</v>
      </c>
      <c r="F54" s="9">
        <v>440</v>
      </c>
      <c r="G54" s="9">
        <v>631</v>
      </c>
      <c r="H54" s="9">
        <v>967</v>
      </c>
      <c r="I54" s="9">
        <v>404</v>
      </c>
      <c r="J54" s="9">
        <f t="shared" si="7"/>
        <v>10240</v>
      </c>
    </row>
    <row r="55" spans="1:10">
      <c r="A55" s="25">
        <v>10</v>
      </c>
      <c r="B55" s="9">
        <v>1140</v>
      </c>
      <c r="C55" s="9">
        <v>2396</v>
      </c>
      <c r="D55" s="9">
        <v>1396</v>
      </c>
      <c r="E55" s="9">
        <v>3024</v>
      </c>
      <c r="F55" s="9">
        <v>455</v>
      </c>
      <c r="G55" s="9">
        <v>620</v>
      </c>
      <c r="H55" s="9">
        <v>996</v>
      </c>
      <c r="I55" s="9">
        <v>419</v>
      </c>
      <c r="J55" s="9">
        <f t="shared" si="7"/>
        <v>10446</v>
      </c>
    </row>
    <row r="56" spans="1:10">
      <c r="A56" s="25">
        <v>11</v>
      </c>
      <c r="B56" s="9">
        <v>1209</v>
      </c>
      <c r="C56" s="9">
        <v>3038</v>
      </c>
      <c r="D56" s="9">
        <v>1337</v>
      </c>
      <c r="E56" s="9">
        <v>3066</v>
      </c>
      <c r="F56" s="9">
        <v>437</v>
      </c>
      <c r="G56" s="9">
        <v>649</v>
      </c>
      <c r="H56" s="9">
        <v>945</v>
      </c>
      <c r="I56" s="9">
        <v>418</v>
      </c>
      <c r="J56" s="9">
        <f t="shared" si="7"/>
        <v>11099</v>
      </c>
    </row>
    <row r="57" spans="1:10">
      <c r="A57" s="25">
        <v>12</v>
      </c>
      <c r="B57" s="9">
        <v>1174</v>
      </c>
      <c r="C57" s="9">
        <v>2131</v>
      </c>
      <c r="D57" s="9">
        <v>1341</v>
      </c>
      <c r="E57" s="9">
        <v>2969</v>
      </c>
      <c r="F57" s="9">
        <v>463</v>
      </c>
      <c r="G57" s="9">
        <v>714</v>
      </c>
      <c r="H57" s="9">
        <v>971</v>
      </c>
      <c r="I57" s="9">
        <v>437</v>
      </c>
      <c r="J57" s="9">
        <f t="shared" si="7"/>
        <v>10200</v>
      </c>
    </row>
    <row r="58" spans="1:10">
      <c r="A58" s="25">
        <v>13</v>
      </c>
      <c r="B58" s="9">
        <v>1205</v>
      </c>
      <c r="C58" s="9">
        <v>2168</v>
      </c>
      <c r="D58" s="9">
        <v>1262</v>
      </c>
      <c r="E58" s="9">
        <v>2978</v>
      </c>
      <c r="F58" s="9">
        <v>415</v>
      </c>
      <c r="G58" s="9">
        <v>609</v>
      </c>
      <c r="H58" s="9">
        <v>938</v>
      </c>
      <c r="I58" s="9">
        <v>414</v>
      </c>
      <c r="J58" s="9">
        <f t="shared" si="7"/>
        <v>9989</v>
      </c>
    </row>
    <row r="59" spans="1:10">
      <c r="A59" s="25">
        <v>14</v>
      </c>
      <c r="B59" s="9">
        <v>1501</v>
      </c>
      <c r="C59" s="9">
        <v>2147</v>
      </c>
      <c r="D59" s="9">
        <v>1324</v>
      </c>
      <c r="E59" s="9">
        <v>3079</v>
      </c>
      <c r="F59" s="9">
        <v>422</v>
      </c>
      <c r="G59" s="9">
        <v>640</v>
      </c>
      <c r="H59" s="9">
        <v>972</v>
      </c>
      <c r="I59" s="9">
        <v>421</v>
      </c>
      <c r="J59" s="9">
        <f t="shared" si="7"/>
        <v>10506</v>
      </c>
    </row>
    <row r="60" spans="1:10">
      <c r="A60" s="25">
        <v>15</v>
      </c>
      <c r="B60" s="9">
        <v>1108</v>
      </c>
      <c r="C60" s="9">
        <v>2180</v>
      </c>
      <c r="D60" s="9">
        <v>1252</v>
      </c>
      <c r="E60" s="9">
        <v>2987</v>
      </c>
      <c r="F60" s="9">
        <v>432</v>
      </c>
      <c r="G60" s="9">
        <v>622</v>
      </c>
      <c r="H60" s="9">
        <v>959</v>
      </c>
      <c r="I60" s="9">
        <v>451</v>
      </c>
      <c r="J60" s="9">
        <f t="shared" si="7"/>
        <v>9991</v>
      </c>
    </row>
    <row r="61" spans="1:10">
      <c r="A61" s="25">
        <v>16</v>
      </c>
      <c r="B61" s="9">
        <v>1089</v>
      </c>
      <c r="C61" s="9">
        <v>2200</v>
      </c>
      <c r="D61" s="9">
        <v>1313</v>
      </c>
      <c r="E61" s="9">
        <v>3122</v>
      </c>
      <c r="F61" s="9">
        <v>422</v>
      </c>
      <c r="G61" s="9">
        <v>645</v>
      </c>
      <c r="H61" s="9">
        <v>962</v>
      </c>
      <c r="I61" s="9">
        <v>415</v>
      </c>
      <c r="J61" s="9">
        <f t="shared" si="7"/>
        <v>10168</v>
      </c>
    </row>
    <row r="62" spans="1:10">
      <c r="A62" s="25">
        <v>17</v>
      </c>
      <c r="B62" s="9">
        <v>1099</v>
      </c>
      <c r="C62" s="9">
        <v>2194</v>
      </c>
      <c r="D62" s="9">
        <v>1258</v>
      </c>
      <c r="E62" s="9">
        <v>3256</v>
      </c>
      <c r="F62" s="9">
        <v>448</v>
      </c>
      <c r="G62" s="9">
        <v>624</v>
      </c>
      <c r="H62" s="9">
        <v>1001</v>
      </c>
      <c r="I62" s="9">
        <v>433</v>
      </c>
      <c r="J62" s="9">
        <f t="shared" si="7"/>
        <v>10313</v>
      </c>
    </row>
    <row r="63" spans="1:10">
      <c r="A63" s="25">
        <v>18</v>
      </c>
      <c r="B63" s="9">
        <v>1083</v>
      </c>
      <c r="C63" s="9">
        <v>2171</v>
      </c>
      <c r="D63" s="9">
        <v>1318</v>
      </c>
      <c r="E63" s="9">
        <v>2950</v>
      </c>
      <c r="F63" s="9">
        <v>422</v>
      </c>
      <c r="G63" s="9">
        <v>651</v>
      </c>
      <c r="H63" s="9">
        <v>948</v>
      </c>
      <c r="I63" s="9">
        <v>415</v>
      </c>
      <c r="J63" s="9">
        <f t="shared" si="7"/>
        <v>9958</v>
      </c>
    </row>
    <row r="64" spans="1:10">
      <c r="A64" s="25">
        <v>19</v>
      </c>
      <c r="B64" s="9">
        <v>1137</v>
      </c>
      <c r="C64" s="9">
        <v>2156</v>
      </c>
      <c r="D64" s="9">
        <v>1314</v>
      </c>
      <c r="E64" s="9">
        <v>3040</v>
      </c>
      <c r="F64" s="9">
        <v>443</v>
      </c>
      <c r="G64" s="9">
        <v>603</v>
      </c>
      <c r="H64" s="9">
        <v>988</v>
      </c>
      <c r="I64" s="9">
        <v>438</v>
      </c>
      <c r="J64" s="9">
        <f t="shared" si="7"/>
        <v>10119</v>
      </c>
    </row>
    <row r="65" spans="1:10">
      <c r="A65" s="25">
        <v>20</v>
      </c>
      <c r="B65" s="9">
        <v>1086</v>
      </c>
      <c r="C65" s="9">
        <v>2179</v>
      </c>
      <c r="D65" s="9">
        <v>1351</v>
      </c>
      <c r="E65" s="9">
        <v>3054</v>
      </c>
      <c r="F65" s="9">
        <v>423</v>
      </c>
      <c r="G65" s="9">
        <v>622</v>
      </c>
      <c r="H65" s="9">
        <v>953</v>
      </c>
      <c r="I65" s="9">
        <v>400</v>
      </c>
      <c r="J65" s="9">
        <f t="shared" si="7"/>
        <v>10068</v>
      </c>
    </row>
    <row r="66" spans="1:10">
      <c r="A66" s="25">
        <v>21</v>
      </c>
      <c r="B66" s="9">
        <v>1079</v>
      </c>
      <c r="C66" s="9">
        <v>2161</v>
      </c>
      <c r="D66" s="9">
        <v>1338</v>
      </c>
      <c r="E66" s="9">
        <v>3033</v>
      </c>
      <c r="F66" s="9">
        <v>443</v>
      </c>
      <c r="G66" s="9">
        <v>620</v>
      </c>
      <c r="H66" s="9">
        <v>1022</v>
      </c>
      <c r="I66" s="9">
        <v>417</v>
      </c>
      <c r="J66" s="9">
        <f t="shared" si="7"/>
        <v>10113</v>
      </c>
    </row>
    <row r="67" spans="1:10">
      <c r="A67" s="25">
        <v>22</v>
      </c>
      <c r="B67" s="9">
        <v>1126</v>
      </c>
      <c r="C67" s="9">
        <v>2207</v>
      </c>
      <c r="D67" s="9">
        <v>1244</v>
      </c>
      <c r="E67" s="9">
        <v>3071</v>
      </c>
      <c r="F67" s="9">
        <v>470</v>
      </c>
      <c r="G67" s="9">
        <v>599</v>
      </c>
      <c r="H67" s="9">
        <v>985</v>
      </c>
      <c r="I67" s="9">
        <v>470</v>
      </c>
      <c r="J67" s="9">
        <f t="shared" si="7"/>
        <v>10172</v>
      </c>
    </row>
    <row r="68" spans="1:10">
      <c r="A68" s="25">
        <v>23</v>
      </c>
      <c r="B68" s="9">
        <v>1090</v>
      </c>
      <c r="C68" s="9">
        <v>2144</v>
      </c>
      <c r="D68" s="9">
        <v>1320</v>
      </c>
      <c r="E68" s="9">
        <v>3073</v>
      </c>
      <c r="F68" s="9">
        <v>407</v>
      </c>
      <c r="G68" s="9">
        <v>614</v>
      </c>
      <c r="H68" s="9">
        <v>946</v>
      </c>
      <c r="I68" s="9">
        <v>511</v>
      </c>
      <c r="J68" s="9">
        <f t="shared" si="7"/>
        <v>10105</v>
      </c>
    </row>
    <row r="69" spans="1:10">
      <c r="A69" s="25">
        <v>24</v>
      </c>
      <c r="B69" s="9">
        <v>1062</v>
      </c>
      <c r="C69" s="9">
        <v>2206</v>
      </c>
      <c r="D69" s="9">
        <v>1318</v>
      </c>
      <c r="E69" s="9">
        <v>2988</v>
      </c>
      <c r="F69" s="9">
        <v>414</v>
      </c>
      <c r="G69" s="9">
        <v>622</v>
      </c>
      <c r="H69" s="9">
        <v>959</v>
      </c>
      <c r="I69" s="9">
        <v>815</v>
      </c>
      <c r="J69" s="9">
        <f t="shared" si="7"/>
        <v>10384</v>
      </c>
    </row>
    <row r="70" spans="1:10">
      <c r="A70" s="25">
        <v>25</v>
      </c>
      <c r="B70" s="9">
        <v>1076</v>
      </c>
      <c r="C70" s="9">
        <v>2199</v>
      </c>
      <c r="D70" s="9">
        <v>1277</v>
      </c>
      <c r="E70" s="9">
        <v>3124</v>
      </c>
      <c r="F70" s="9">
        <v>423</v>
      </c>
      <c r="G70" s="9">
        <v>630</v>
      </c>
      <c r="H70" s="9">
        <v>1112</v>
      </c>
      <c r="I70" s="9">
        <v>435</v>
      </c>
      <c r="J70" s="9">
        <f t="shared" si="7"/>
        <v>10276</v>
      </c>
    </row>
    <row r="71" s="1" customFormat="1" spans="1:10">
      <c r="A71" s="26" t="s">
        <v>148</v>
      </c>
      <c r="B71" s="8">
        <f>AVERAGE(B46:B70)</f>
        <v>1136.24</v>
      </c>
      <c r="C71" s="8">
        <f t="shared" ref="C71:I71" si="8">AVERAGE(C46:C70)</f>
        <v>2210.76</v>
      </c>
      <c r="D71" s="8">
        <f t="shared" si="8"/>
        <v>1324.56</v>
      </c>
      <c r="E71" s="8">
        <f t="shared" si="8"/>
        <v>3111.8</v>
      </c>
      <c r="F71" s="8">
        <f t="shared" si="8"/>
        <v>435.84</v>
      </c>
      <c r="G71" s="8">
        <f t="shared" si="8"/>
        <v>627.92</v>
      </c>
      <c r="H71" s="8">
        <f t="shared" si="8"/>
        <v>970.68</v>
      </c>
      <c r="I71" s="8">
        <f t="shared" si="8"/>
        <v>447.52</v>
      </c>
      <c r="J71" s="8">
        <f>AVERAGE(J46:J70)</f>
        <v>10265.32</v>
      </c>
    </row>
    <row r="72" spans="1:10">
      <c r="A72" s="27" t="s">
        <v>145</v>
      </c>
      <c r="B72" s="7">
        <f t="shared" ref="B72:I72" si="9">MEDIAN(B47:B71)</f>
        <v>1099</v>
      </c>
      <c r="C72" s="7">
        <f t="shared" si="9"/>
        <v>2172</v>
      </c>
      <c r="D72" s="7">
        <f t="shared" si="9"/>
        <v>1318</v>
      </c>
      <c r="E72" s="7">
        <f t="shared" si="9"/>
        <v>3071</v>
      </c>
      <c r="F72" s="7">
        <f t="shared" si="9"/>
        <v>432</v>
      </c>
      <c r="G72" s="7">
        <f t="shared" si="9"/>
        <v>624</v>
      </c>
      <c r="H72" s="7">
        <f t="shared" si="9"/>
        <v>962</v>
      </c>
      <c r="I72" s="7">
        <f t="shared" si="9"/>
        <v>426</v>
      </c>
      <c r="J72" s="7">
        <f>MEDIAN(J47:J71)</f>
        <v>10200</v>
      </c>
    </row>
    <row r="73" spans="1:10">
      <c r="A73" s="28" t="s">
        <v>146</v>
      </c>
      <c r="B73" s="13">
        <f>MEDIAN(B47:B55,B60:B70)</f>
        <v>1089.5</v>
      </c>
      <c r="C73" s="13">
        <f>MEDIAN(C46:C54,C57:C70)</f>
        <v>2168</v>
      </c>
      <c r="D73" s="13">
        <f>MEDIAN(D46:D51,D56:D70)</f>
        <v>1313</v>
      </c>
      <c r="E73" s="13">
        <f>MEDIAN(E63:E70,E52:E61,E50,E46)</f>
        <v>3036.5</v>
      </c>
      <c r="F73" s="13">
        <f>MEDIAN(F46,F48:F54,F56,F58:F66,F68:F70)</f>
        <v>423</v>
      </c>
      <c r="G73" s="13">
        <f>MEDIAN(G47:G48,G50:G53,G55:G56,G58:G68,G71)</f>
        <v>622</v>
      </c>
      <c r="H73" s="13">
        <f>MEDIAN(H46:H50,H52:H54,H56:H61,H63,H65,H68:H69)</f>
        <v>954</v>
      </c>
      <c r="I73" s="13">
        <f ca="1">MEDIAN(I46:I67:I70)</f>
        <v>425</v>
      </c>
      <c r="J73" s="13">
        <f ca="1">MEDIAN(J46,J48:J49,J50,J52:J54,J57:J57:J58,J60:J68,J70)</f>
        <v>10119</v>
      </c>
    </row>
    <row r="74" spans="1:10">
      <c r="A74" s="29"/>
      <c r="B74" s="13"/>
      <c r="C74" s="13"/>
      <c r="D74" s="13"/>
      <c r="E74" s="13"/>
      <c r="F74" s="13"/>
      <c r="G74" s="13"/>
      <c r="H74" s="13"/>
      <c r="I74" s="13"/>
      <c r="J74" s="13"/>
    </row>
    <row r="75" spans="1:10">
      <c r="A75" s="30" t="s">
        <v>147</v>
      </c>
      <c r="B75" s="16">
        <f>(B72-B73)/B73*100</f>
        <v>0.871959614502065</v>
      </c>
      <c r="C75" s="16">
        <f t="shared" ref="C75:J75" si="10">(C72-C73)/C73*100</f>
        <v>0.18450184501845</v>
      </c>
      <c r="D75" s="16">
        <f t="shared" si="10"/>
        <v>0.380807311500381</v>
      </c>
      <c r="E75" s="16">
        <f t="shared" si="10"/>
        <v>1.13617651901861</v>
      </c>
      <c r="F75" s="16">
        <f t="shared" si="10"/>
        <v>2.12765957446808</v>
      </c>
      <c r="G75" s="16">
        <f t="shared" si="10"/>
        <v>0.321543408360129</v>
      </c>
      <c r="H75" s="16">
        <f t="shared" si="10"/>
        <v>0.838574423480084</v>
      </c>
      <c r="I75" s="16">
        <f ca="1" t="shared" si="10"/>
        <v>0.235294117647059</v>
      </c>
      <c r="J75" s="16">
        <f ca="1" t="shared" si="10"/>
        <v>0.800474355173436</v>
      </c>
    </row>
    <row r="76" spans="1:10">
      <c r="A76" s="26" t="s">
        <v>149</v>
      </c>
      <c r="B76" s="8">
        <f>VARP(B47:B71)</f>
        <v>7397.76566784</v>
      </c>
      <c r="C76" s="8">
        <f t="shared" ref="C76:J76" si="11">VARP(C47:C71)</f>
        <v>31371.96598784</v>
      </c>
      <c r="D76" s="8">
        <f t="shared" si="11"/>
        <v>5749.77972224</v>
      </c>
      <c r="E76" s="8">
        <f t="shared" si="11"/>
        <v>34507.380096</v>
      </c>
      <c r="F76" s="8">
        <f t="shared" si="11"/>
        <v>1503.03023104</v>
      </c>
      <c r="G76" s="8">
        <f t="shared" si="11"/>
        <v>594.23474176</v>
      </c>
      <c r="H76" s="8">
        <f t="shared" si="11"/>
        <v>1314.10646016</v>
      </c>
      <c r="I76" s="8">
        <f t="shared" si="11"/>
        <v>6199.29550336</v>
      </c>
      <c r="J76" s="8">
        <f t="shared" si="11"/>
        <v>74233.78658816</v>
      </c>
    </row>
    <row r="77" spans="1:10">
      <c r="A77" s="26" t="s">
        <v>150</v>
      </c>
      <c r="B77" s="8">
        <f>SQRT(B76)/SQRT(25)*1.96</f>
        <v>33.7160238400522</v>
      </c>
      <c r="C77" s="8">
        <f t="shared" ref="C77:J77" si="12">SQRT(C76)/SQRT(25)*1.96</f>
        <v>69.4315618545013</v>
      </c>
      <c r="D77" s="8">
        <f t="shared" si="12"/>
        <v>29.7243023675626</v>
      </c>
      <c r="E77" s="8">
        <f t="shared" si="12"/>
        <v>72.8185557057522</v>
      </c>
      <c r="F77" s="8">
        <f t="shared" si="12"/>
        <v>15.1974220650257</v>
      </c>
      <c r="G77" s="8">
        <f t="shared" si="12"/>
        <v>9.55575676531213</v>
      </c>
      <c r="H77" s="8">
        <f t="shared" si="12"/>
        <v>14.2102376860497</v>
      </c>
      <c r="I77" s="8">
        <f t="shared" si="12"/>
        <v>30.8643571815178</v>
      </c>
      <c r="J77" s="8">
        <f t="shared" si="12"/>
        <v>106.803841608263</v>
      </c>
    </row>
    <row r="78" spans="1:10">
      <c r="A78" s="25" t="s">
        <v>151</v>
      </c>
      <c r="B78" s="8">
        <f>B71+B77</f>
        <v>1169.95602384005</v>
      </c>
      <c r="C78" s="8">
        <f t="shared" ref="C78:J78" si="13">C71+C77</f>
        <v>2280.1915618545</v>
      </c>
      <c r="D78" s="8">
        <f t="shared" si="13"/>
        <v>1354.28430236756</v>
      </c>
      <c r="E78" s="8">
        <f t="shared" si="13"/>
        <v>3184.61855570575</v>
      </c>
      <c r="F78" s="8">
        <f t="shared" si="13"/>
        <v>451.037422065026</v>
      </c>
      <c r="G78" s="8">
        <f t="shared" si="13"/>
        <v>637.475756765312</v>
      </c>
      <c r="H78" s="8">
        <f t="shared" si="13"/>
        <v>984.89023768605</v>
      </c>
      <c r="I78" s="8">
        <f t="shared" si="13"/>
        <v>478.384357181518</v>
      </c>
      <c r="J78" s="8">
        <f t="shared" si="13"/>
        <v>10372.1238416083</v>
      </c>
    </row>
    <row r="79" spans="1:10">
      <c r="A79" s="28" t="s">
        <v>152</v>
      </c>
      <c r="B79" s="19">
        <f>AVERAGE(B47:B55,B60:B70)</f>
        <v>1096.65</v>
      </c>
      <c r="C79" s="19">
        <f>AVERAGE(C46:C54,C57:C70)</f>
        <v>2166.73913043478</v>
      </c>
      <c r="D79" s="19">
        <f>AVERAGE(D46:D51,D56:D70)</f>
        <v>1295.57142857143</v>
      </c>
      <c r="E79" s="19">
        <f>AVERAGE(E63:E70,E52:E61,E50,E46)</f>
        <v>3040.2</v>
      </c>
      <c r="F79" s="19">
        <f>AVERAGE(F46,F48:F54,F56,F58:F66,F68:F70)</f>
        <v>423.904761904762</v>
      </c>
      <c r="G79" s="19">
        <f>AVERAGE(G48:G52,G54:G71)</f>
        <v>629.344347826087</v>
      </c>
      <c r="H79" s="19">
        <f>AVERAGE(H46:H50,H52:H54,H56:H61,H63,H65,H68:H69)</f>
        <v>954.277777777778</v>
      </c>
      <c r="I79" s="19">
        <f ca="1">AVERAGE(I46:I67:I70)</f>
        <v>447.52</v>
      </c>
      <c r="J79" s="19">
        <f ca="1">AVERAGE(J46,J48:J49,J50,J52:J54,J57:J57:J58,J60:J68,J70)</f>
        <v>10136.7368421053</v>
      </c>
    </row>
    <row r="80" spans="1:10">
      <c r="A80" s="29"/>
      <c r="B80" s="19"/>
      <c r="C80" s="19"/>
      <c r="D80" s="19"/>
      <c r="E80" s="19"/>
      <c r="F80" s="19"/>
      <c r="G80" s="19"/>
      <c r="H80" s="19"/>
      <c r="I80" s="19"/>
      <c r="J80" s="19"/>
    </row>
    <row r="81" spans="1:22">
      <c r="A81" s="31" t="s">
        <v>153</v>
      </c>
      <c r="B81" s="8">
        <f>VAR(B47:B55,B60:B70)</f>
        <v>608.134210526316</v>
      </c>
      <c r="C81" s="8">
        <f>VAR(C46:C54,C57:C70)</f>
        <v>1559.65612648221</v>
      </c>
      <c r="D81" s="8">
        <f>VAR(D46:D51,D56:D70)</f>
        <v>1451.05714285714</v>
      </c>
      <c r="E81" s="8">
        <f>VAR(E63:E70,E52:E61,E50,E46)</f>
        <v>3094.06315789474</v>
      </c>
      <c r="F81" s="8">
        <f>VAR(F46,F48:F54,F56,F58:F66,F68:F70)</f>
        <v>223.990476190476</v>
      </c>
      <c r="G81" s="8">
        <f>VAR(G48:G52,G54:G71)</f>
        <v>667.610871146245</v>
      </c>
      <c r="H81" s="8">
        <f>VAR(H46:H50,H52:H54,H56:H61,H63,H65,H68:H69)</f>
        <v>183.977124183007</v>
      </c>
      <c r="I81" s="8">
        <f ca="1">VAR(I46:I67:I70)</f>
        <v>6503.42666666667</v>
      </c>
      <c r="J81" s="8">
        <f ca="1">VAR(J46,J48:J49,J50,J52:J54,J57:J57:J58,J60:J68,J70)</f>
        <v>9618.87134502924</v>
      </c>
    </row>
    <row r="82" spans="1:22">
      <c r="A82" s="31"/>
      <c r="B82" s="8"/>
      <c r="C82" s="8"/>
      <c r="D82" s="8"/>
      <c r="E82" s="8"/>
      <c r="F82" s="8"/>
      <c r="G82" s="8"/>
      <c r="H82" s="8"/>
      <c r="I82" s="8"/>
      <c r="J82" s="8"/>
    </row>
    <row r="83" spans="1:22">
      <c r="A83" s="32" t="s">
        <v>154</v>
      </c>
      <c r="B83" s="22">
        <f>(B71-B79)/B79*100</f>
        <v>3.61008525965439</v>
      </c>
      <c r="C83" s="22">
        <f t="shared" ref="C83:J83" si="14">(C71-C79)/C79*100</f>
        <v>2.03166449282634</v>
      </c>
      <c r="D83" s="22">
        <f t="shared" si="14"/>
        <v>2.23751240489579</v>
      </c>
      <c r="E83" s="22">
        <f t="shared" si="14"/>
        <v>2.35510821656471</v>
      </c>
      <c r="F83" s="22">
        <f t="shared" si="14"/>
        <v>2.81554706807458</v>
      </c>
      <c r="G83" s="22">
        <f t="shared" si="14"/>
        <v>-0.226322494355762</v>
      </c>
      <c r="H83" s="22">
        <f t="shared" si="14"/>
        <v>1.71881003667694</v>
      </c>
      <c r="I83" s="22">
        <f ca="1" t="shared" si="14"/>
        <v>0</v>
      </c>
      <c r="J83" s="22">
        <f ca="1" t="shared" si="14"/>
        <v>1.26848669248901</v>
      </c>
    </row>
    <row r="85" spans="1:22">
      <c r="A85" s="3" t="s">
        <v>157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>
      <c r="A87" s="33" t="s">
        <v>143</v>
      </c>
      <c r="B87" s="34" t="s">
        <v>87</v>
      </c>
      <c r="C87" s="34" t="s">
        <v>88</v>
      </c>
      <c r="D87" s="34" t="s">
        <v>89</v>
      </c>
      <c r="E87" s="34" t="s">
        <v>90</v>
      </c>
      <c r="F87" s="34" t="s">
        <v>91</v>
      </c>
      <c r="G87" s="34" t="s">
        <v>92</v>
      </c>
      <c r="H87" s="34" t="s">
        <v>93</v>
      </c>
      <c r="I87" s="34" t="s">
        <v>94</v>
      </c>
      <c r="J87" s="34" t="s">
        <v>95</v>
      </c>
      <c r="K87" s="34" t="s">
        <v>96</v>
      </c>
      <c r="L87" s="34" t="s">
        <v>158</v>
      </c>
      <c r="M87" s="34" t="s">
        <v>98</v>
      </c>
      <c r="N87" s="34" t="s">
        <v>99</v>
      </c>
      <c r="O87" s="34" t="s">
        <v>100</v>
      </c>
      <c r="P87" s="34" t="s">
        <v>101</v>
      </c>
      <c r="Q87" s="34" t="s">
        <v>102</v>
      </c>
      <c r="R87" s="34" t="s">
        <v>103</v>
      </c>
      <c r="S87" s="34" t="s">
        <v>104</v>
      </c>
      <c r="T87" s="34" t="s">
        <v>105</v>
      </c>
      <c r="U87" s="34" t="s">
        <v>106</v>
      </c>
      <c r="V87" s="33" t="s">
        <v>159</v>
      </c>
    </row>
    <row r="88" spans="1:22">
      <c r="A88" s="35">
        <v>1</v>
      </c>
      <c r="B88" s="8">
        <v>5553</v>
      </c>
      <c r="C88" s="8">
        <v>5563</v>
      </c>
      <c r="D88" s="8">
        <v>5524</v>
      </c>
      <c r="E88" s="8">
        <v>5521</v>
      </c>
      <c r="F88" s="8">
        <v>5547</v>
      </c>
      <c r="G88" s="8">
        <v>5517</v>
      </c>
      <c r="H88" s="8">
        <v>5556</v>
      </c>
      <c r="I88" s="8">
        <v>5522</v>
      </c>
      <c r="J88" s="8">
        <v>5527</v>
      </c>
      <c r="K88" s="8">
        <v>5562</v>
      </c>
      <c r="L88" s="8">
        <v>5558</v>
      </c>
      <c r="M88" s="8">
        <v>5537</v>
      </c>
      <c r="N88" s="8">
        <v>5558</v>
      </c>
      <c r="O88" s="8">
        <v>5554</v>
      </c>
      <c r="P88" s="8">
        <v>5559</v>
      </c>
      <c r="Q88" s="8">
        <v>5560</v>
      </c>
      <c r="R88" s="8">
        <v>5597</v>
      </c>
      <c r="S88" s="8">
        <v>16309</v>
      </c>
      <c r="T88" s="8">
        <v>7657</v>
      </c>
      <c r="U88" s="8">
        <v>5547</v>
      </c>
      <c r="V88" s="8">
        <f>SUM(B88:U88)</f>
        <v>123828</v>
      </c>
    </row>
    <row r="89" spans="1:22">
      <c r="A89" s="35">
        <v>2</v>
      </c>
      <c r="B89" s="8">
        <v>5553</v>
      </c>
      <c r="C89" s="8">
        <v>5551</v>
      </c>
      <c r="D89" s="8">
        <v>5535</v>
      </c>
      <c r="E89" s="8">
        <v>5516</v>
      </c>
      <c r="F89" s="8">
        <v>5574</v>
      </c>
      <c r="G89" s="8">
        <v>5515</v>
      </c>
      <c r="H89" s="8">
        <v>5537</v>
      </c>
      <c r="I89" s="8">
        <v>5534</v>
      </c>
      <c r="J89" s="8">
        <v>5523</v>
      </c>
      <c r="K89" s="8">
        <v>5562</v>
      </c>
      <c r="L89" s="8">
        <v>5555</v>
      </c>
      <c r="M89" s="8">
        <v>5553</v>
      </c>
      <c r="N89" s="8">
        <v>5558</v>
      </c>
      <c r="O89" s="8">
        <v>5546</v>
      </c>
      <c r="P89" s="8">
        <v>5578</v>
      </c>
      <c r="Q89" s="8">
        <v>5561</v>
      </c>
      <c r="R89" s="8">
        <v>5541</v>
      </c>
      <c r="S89" s="8">
        <v>16293</v>
      </c>
      <c r="T89" s="8">
        <v>7648</v>
      </c>
      <c r="U89" s="8">
        <v>5544</v>
      </c>
      <c r="V89" s="8">
        <f t="shared" ref="V89:V112" si="15">SUM(B89:U89)</f>
        <v>123777</v>
      </c>
    </row>
    <row r="90" spans="1:22">
      <c r="A90" s="35">
        <v>3</v>
      </c>
      <c r="B90" s="8">
        <v>5547</v>
      </c>
      <c r="C90" s="8">
        <v>5557</v>
      </c>
      <c r="D90" s="8">
        <v>5537</v>
      </c>
      <c r="E90" s="8">
        <v>5516</v>
      </c>
      <c r="F90" s="8">
        <v>5544</v>
      </c>
      <c r="G90" s="8">
        <v>5523</v>
      </c>
      <c r="H90" s="8">
        <v>5540</v>
      </c>
      <c r="I90" s="8">
        <v>5522</v>
      </c>
      <c r="J90" s="8">
        <v>5529</v>
      </c>
      <c r="K90" s="8">
        <v>5554</v>
      </c>
      <c r="L90" s="8">
        <v>5571</v>
      </c>
      <c r="M90" s="8">
        <v>5543</v>
      </c>
      <c r="N90" s="8">
        <v>5555</v>
      </c>
      <c r="O90" s="8">
        <v>5552</v>
      </c>
      <c r="P90" s="8">
        <v>5571</v>
      </c>
      <c r="Q90" s="8">
        <v>5559</v>
      </c>
      <c r="R90" s="8">
        <v>5534</v>
      </c>
      <c r="S90" s="8">
        <v>16279</v>
      </c>
      <c r="T90" s="8">
        <v>7651</v>
      </c>
      <c r="U90" s="8">
        <v>5535</v>
      </c>
      <c r="V90" s="8">
        <f t="shared" si="15"/>
        <v>123719</v>
      </c>
    </row>
    <row r="91" spans="1:22">
      <c r="A91" s="35">
        <v>4</v>
      </c>
      <c r="B91" s="8">
        <v>5559</v>
      </c>
      <c r="C91" s="8">
        <v>5558</v>
      </c>
      <c r="D91" s="8">
        <v>5523</v>
      </c>
      <c r="E91" s="8">
        <v>5511</v>
      </c>
      <c r="F91" s="8">
        <v>5537</v>
      </c>
      <c r="G91" s="8">
        <v>5530</v>
      </c>
      <c r="H91" s="8">
        <v>5541</v>
      </c>
      <c r="I91" s="8">
        <v>5536</v>
      </c>
      <c r="J91" s="8">
        <v>5515</v>
      </c>
      <c r="K91" s="8">
        <v>5558</v>
      </c>
      <c r="L91" s="8">
        <v>5551</v>
      </c>
      <c r="M91" s="8">
        <v>5533</v>
      </c>
      <c r="N91" s="8">
        <v>5572</v>
      </c>
      <c r="O91" s="8">
        <v>5548</v>
      </c>
      <c r="P91" s="8">
        <v>5566</v>
      </c>
      <c r="Q91" s="8">
        <v>5570</v>
      </c>
      <c r="R91" s="8">
        <v>5547</v>
      </c>
      <c r="S91" s="8">
        <v>16292</v>
      </c>
      <c r="T91" s="8">
        <v>7658</v>
      </c>
      <c r="U91" s="8">
        <v>5545</v>
      </c>
      <c r="V91" s="8">
        <f t="shared" si="15"/>
        <v>123750</v>
      </c>
    </row>
    <row r="92" spans="1:22">
      <c r="A92" s="35">
        <v>5</v>
      </c>
      <c r="B92" s="8">
        <v>5551</v>
      </c>
      <c r="C92" s="8">
        <v>5561</v>
      </c>
      <c r="D92" s="8">
        <v>5525</v>
      </c>
      <c r="E92" s="8">
        <v>5533</v>
      </c>
      <c r="F92" s="8">
        <v>5538</v>
      </c>
      <c r="G92" s="8">
        <v>5529</v>
      </c>
      <c r="H92" s="8">
        <v>5553</v>
      </c>
      <c r="I92" s="8">
        <v>5542</v>
      </c>
      <c r="J92" s="8">
        <v>5524</v>
      </c>
      <c r="K92" s="8">
        <v>5544</v>
      </c>
      <c r="L92" s="8">
        <v>5561</v>
      </c>
      <c r="M92" s="8">
        <v>5547</v>
      </c>
      <c r="N92" s="8">
        <v>5567</v>
      </c>
      <c r="O92" s="8">
        <v>5550</v>
      </c>
      <c r="P92" s="8">
        <v>5559</v>
      </c>
      <c r="Q92" s="8">
        <v>5553</v>
      </c>
      <c r="R92" s="8">
        <v>5564</v>
      </c>
      <c r="S92" s="8">
        <v>16272</v>
      </c>
      <c r="T92" s="8">
        <v>7653</v>
      </c>
      <c r="U92" s="8">
        <v>5545</v>
      </c>
      <c r="V92" s="8">
        <f t="shared" si="15"/>
        <v>123771</v>
      </c>
    </row>
    <row r="93" spans="1:22">
      <c r="A93" s="35">
        <v>6</v>
      </c>
      <c r="B93" s="8">
        <v>5564</v>
      </c>
      <c r="C93" s="8">
        <v>5567</v>
      </c>
      <c r="D93" s="8">
        <v>5511</v>
      </c>
      <c r="E93" s="8">
        <v>5526</v>
      </c>
      <c r="F93" s="8">
        <v>5555</v>
      </c>
      <c r="G93" s="8">
        <v>5509</v>
      </c>
      <c r="H93" s="8">
        <v>5547</v>
      </c>
      <c r="I93" s="8">
        <v>5535</v>
      </c>
      <c r="J93" s="8">
        <v>5516</v>
      </c>
      <c r="K93" s="8">
        <v>5551</v>
      </c>
      <c r="L93" s="8">
        <v>5558</v>
      </c>
      <c r="M93" s="8">
        <v>5556</v>
      </c>
      <c r="N93" s="8">
        <v>5560</v>
      </c>
      <c r="O93" s="8">
        <v>5564</v>
      </c>
      <c r="P93" s="8">
        <v>5575</v>
      </c>
      <c r="Q93" s="8">
        <v>5558</v>
      </c>
      <c r="R93" s="8">
        <v>5536</v>
      </c>
      <c r="S93" s="8">
        <v>16282</v>
      </c>
      <c r="T93" s="8">
        <v>7651</v>
      </c>
      <c r="U93" s="8">
        <v>5541</v>
      </c>
      <c r="V93" s="8">
        <f t="shared" si="15"/>
        <v>123762</v>
      </c>
    </row>
    <row r="94" spans="1:22">
      <c r="A94" s="35">
        <v>7</v>
      </c>
      <c r="B94" s="8">
        <v>5561</v>
      </c>
      <c r="C94" s="8">
        <v>5565</v>
      </c>
      <c r="D94" s="8">
        <v>5525</v>
      </c>
      <c r="E94" s="8">
        <v>5524</v>
      </c>
      <c r="F94" s="8">
        <v>5540</v>
      </c>
      <c r="G94" s="8">
        <v>5507</v>
      </c>
      <c r="H94" s="8">
        <v>5552</v>
      </c>
      <c r="I94" s="8">
        <v>5530</v>
      </c>
      <c r="J94" s="8">
        <v>5521</v>
      </c>
      <c r="K94" s="8">
        <v>5561</v>
      </c>
      <c r="L94" s="8">
        <v>5553</v>
      </c>
      <c r="M94" s="8">
        <v>5540</v>
      </c>
      <c r="N94" s="8">
        <v>5568</v>
      </c>
      <c r="O94" s="8">
        <v>5550</v>
      </c>
      <c r="P94" s="8">
        <v>5577</v>
      </c>
      <c r="Q94" s="8">
        <v>5570</v>
      </c>
      <c r="R94" s="8">
        <v>5549</v>
      </c>
      <c r="S94" s="8">
        <v>16287</v>
      </c>
      <c r="T94" s="8">
        <v>7650</v>
      </c>
      <c r="U94" s="8">
        <v>5539</v>
      </c>
      <c r="V94" s="8">
        <f t="shared" si="15"/>
        <v>123769</v>
      </c>
    </row>
    <row r="95" spans="1:22">
      <c r="A95" s="35">
        <v>8</v>
      </c>
      <c r="B95" s="8">
        <v>5558</v>
      </c>
      <c r="C95" s="8">
        <v>5566</v>
      </c>
      <c r="D95" s="8">
        <v>5528</v>
      </c>
      <c r="E95" s="8">
        <v>5512</v>
      </c>
      <c r="F95" s="8">
        <v>5545</v>
      </c>
      <c r="G95" s="8">
        <v>5521</v>
      </c>
      <c r="H95" s="8">
        <v>5541</v>
      </c>
      <c r="I95" s="8">
        <v>5533</v>
      </c>
      <c r="J95" s="8">
        <v>5523</v>
      </c>
      <c r="K95" s="8">
        <v>5562</v>
      </c>
      <c r="L95" s="8">
        <v>5547</v>
      </c>
      <c r="M95" s="8">
        <v>5541</v>
      </c>
      <c r="N95" s="8">
        <v>5568</v>
      </c>
      <c r="O95" s="8">
        <v>5547</v>
      </c>
      <c r="P95" s="8">
        <v>5562</v>
      </c>
      <c r="Q95" s="8">
        <v>5559</v>
      </c>
      <c r="R95" s="8">
        <v>5545</v>
      </c>
      <c r="S95" s="8">
        <v>16280</v>
      </c>
      <c r="T95" s="8">
        <v>7655</v>
      </c>
      <c r="U95" s="8">
        <v>5542</v>
      </c>
      <c r="V95" s="8">
        <f t="shared" si="15"/>
        <v>123735</v>
      </c>
    </row>
    <row r="96" spans="1:22">
      <c r="A96" s="35">
        <v>9</v>
      </c>
      <c r="B96" s="8">
        <v>5554</v>
      </c>
      <c r="C96" s="8">
        <v>5548</v>
      </c>
      <c r="D96" s="8">
        <v>5524</v>
      </c>
      <c r="E96" s="8">
        <v>5515</v>
      </c>
      <c r="F96" s="8">
        <v>5540</v>
      </c>
      <c r="G96" s="8">
        <v>5522</v>
      </c>
      <c r="H96" s="8">
        <v>5540</v>
      </c>
      <c r="I96" s="8">
        <v>5530</v>
      </c>
      <c r="J96" s="8">
        <v>5512</v>
      </c>
      <c r="K96" s="8">
        <v>5560</v>
      </c>
      <c r="L96" s="8">
        <v>5559</v>
      </c>
      <c r="M96" s="8">
        <v>5533</v>
      </c>
      <c r="N96" s="8">
        <v>5559</v>
      </c>
      <c r="O96" s="8">
        <v>5550</v>
      </c>
      <c r="P96" s="8">
        <v>5557</v>
      </c>
      <c r="Q96" s="8">
        <v>5557</v>
      </c>
      <c r="R96" s="8">
        <v>5548</v>
      </c>
      <c r="S96" s="8">
        <v>16300</v>
      </c>
      <c r="T96" s="8">
        <v>7654</v>
      </c>
      <c r="U96" s="8">
        <v>5543</v>
      </c>
      <c r="V96" s="8">
        <f t="shared" si="15"/>
        <v>123705</v>
      </c>
    </row>
    <row r="97" spans="1:22">
      <c r="A97" s="35">
        <v>10</v>
      </c>
      <c r="B97" s="8">
        <v>5560</v>
      </c>
      <c r="C97" s="8">
        <v>5567</v>
      </c>
      <c r="D97" s="8">
        <v>5519</v>
      </c>
      <c r="E97" s="8">
        <v>5525</v>
      </c>
      <c r="F97" s="8">
        <v>5560</v>
      </c>
      <c r="G97" s="8">
        <v>5529</v>
      </c>
      <c r="H97" s="8">
        <v>5549</v>
      </c>
      <c r="I97" s="8">
        <v>5530</v>
      </c>
      <c r="J97" s="8">
        <v>5509</v>
      </c>
      <c r="K97" s="8">
        <v>5568</v>
      </c>
      <c r="L97" s="8">
        <v>5542</v>
      </c>
      <c r="M97" s="8">
        <v>5546</v>
      </c>
      <c r="N97" s="8">
        <v>5557</v>
      </c>
      <c r="O97" s="8">
        <v>5548</v>
      </c>
      <c r="P97" s="8">
        <v>5563</v>
      </c>
      <c r="Q97" s="8">
        <v>5562</v>
      </c>
      <c r="R97" s="8">
        <v>5542</v>
      </c>
      <c r="S97" s="8">
        <v>16284</v>
      </c>
      <c r="T97" s="8">
        <v>7654</v>
      </c>
      <c r="U97" s="8">
        <v>5545</v>
      </c>
      <c r="V97" s="8">
        <f t="shared" si="15"/>
        <v>123759</v>
      </c>
    </row>
    <row r="98" spans="1:22">
      <c r="A98" s="35">
        <v>11</v>
      </c>
      <c r="B98" s="8">
        <v>5544</v>
      </c>
      <c r="C98" s="8">
        <v>5554</v>
      </c>
      <c r="D98" s="8">
        <v>5516</v>
      </c>
      <c r="E98" s="8">
        <v>5525</v>
      </c>
      <c r="F98" s="8">
        <v>5550</v>
      </c>
      <c r="G98" s="8">
        <v>5530</v>
      </c>
      <c r="H98" s="8">
        <v>5539</v>
      </c>
      <c r="I98" s="8">
        <v>5547</v>
      </c>
      <c r="J98" s="8">
        <v>5510</v>
      </c>
      <c r="K98" s="8">
        <v>5559</v>
      </c>
      <c r="L98" s="8">
        <v>5550</v>
      </c>
      <c r="M98" s="8">
        <v>5532</v>
      </c>
      <c r="N98" s="8">
        <v>5569</v>
      </c>
      <c r="O98" s="8">
        <v>5552</v>
      </c>
      <c r="P98" s="8">
        <v>5562</v>
      </c>
      <c r="Q98" s="8">
        <v>5556</v>
      </c>
      <c r="R98" s="8">
        <v>5552</v>
      </c>
      <c r="S98" s="8">
        <v>16281</v>
      </c>
      <c r="T98" s="8">
        <v>7640</v>
      </c>
      <c r="U98" s="8">
        <v>5543</v>
      </c>
      <c r="V98" s="8">
        <f t="shared" si="15"/>
        <v>123711</v>
      </c>
    </row>
    <row r="99" spans="1:22">
      <c r="A99" s="35">
        <v>12</v>
      </c>
      <c r="B99" s="8">
        <v>5542</v>
      </c>
      <c r="C99" s="8">
        <v>5557</v>
      </c>
      <c r="D99" s="8">
        <v>5521</v>
      </c>
      <c r="E99" s="8">
        <v>5525</v>
      </c>
      <c r="F99" s="8">
        <v>5535</v>
      </c>
      <c r="G99" s="8">
        <v>5511</v>
      </c>
      <c r="H99" s="8">
        <v>5532</v>
      </c>
      <c r="I99" s="8">
        <v>5524</v>
      </c>
      <c r="J99" s="8">
        <v>5519</v>
      </c>
      <c r="K99" s="8">
        <v>5549</v>
      </c>
      <c r="L99" s="8">
        <v>5544</v>
      </c>
      <c r="M99" s="8">
        <v>5557</v>
      </c>
      <c r="N99" s="8">
        <v>5560</v>
      </c>
      <c r="O99" s="8">
        <v>5560</v>
      </c>
      <c r="P99" s="8">
        <v>5557</v>
      </c>
      <c r="Q99" s="8">
        <v>5567</v>
      </c>
      <c r="R99" s="8">
        <v>5547</v>
      </c>
      <c r="S99" s="8">
        <v>16271</v>
      </c>
      <c r="T99" s="8">
        <v>7640</v>
      </c>
      <c r="U99" s="8">
        <v>5562</v>
      </c>
      <c r="V99" s="8">
        <f t="shared" si="15"/>
        <v>123680</v>
      </c>
    </row>
    <row r="100" spans="1:22">
      <c r="A100" s="35">
        <v>13</v>
      </c>
      <c r="B100" s="8">
        <v>5536</v>
      </c>
      <c r="C100" s="8">
        <v>5570</v>
      </c>
      <c r="D100" s="8">
        <v>5528</v>
      </c>
      <c r="E100" s="8">
        <v>5512</v>
      </c>
      <c r="F100" s="8">
        <v>5541</v>
      </c>
      <c r="G100" s="8">
        <v>5509</v>
      </c>
      <c r="H100" s="8">
        <v>5538</v>
      </c>
      <c r="I100" s="8">
        <v>5528</v>
      </c>
      <c r="J100" s="8">
        <v>5515</v>
      </c>
      <c r="K100" s="8">
        <v>5553</v>
      </c>
      <c r="L100" s="8">
        <v>5552</v>
      </c>
      <c r="M100" s="8">
        <v>5546</v>
      </c>
      <c r="N100" s="8">
        <v>5571</v>
      </c>
      <c r="O100" s="8">
        <v>5556</v>
      </c>
      <c r="P100" s="8">
        <v>5571</v>
      </c>
      <c r="Q100" s="8">
        <v>5561</v>
      </c>
      <c r="R100" s="8">
        <v>5548</v>
      </c>
      <c r="S100" s="8">
        <v>16275</v>
      </c>
      <c r="T100" s="8">
        <v>7664</v>
      </c>
      <c r="U100" s="8">
        <v>5542</v>
      </c>
      <c r="V100" s="8">
        <f t="shared" si="15"/>
        <v>123716</v>
      </c>
    </row>
    <row r="101" spans="1:22">
      <c r="A101" s="35">
        <v>14</v>
      </c>
      <c r="B101" s="8">
        <v>5550</v>
      </c>
      <c r="C101" s="8">
        <v>5558</v>
      </c>
      <c r="D101" s="8">
        <v>5519</v>
      </c>
      <c r="E101" s="8">
        <v>5516</v>
      </c>
      <c r="F101" s="8">
        <v>5535</v>
      </c>
      <c r="G101" s="8">
        <v>5530</v>
      </c>
      <c r="H101" s="8">
        <v>5549</v>
      </c>
      <c r="I101" s="8">
        <v>5529</v>
      </c>
      <c r="J101" s="8">
        <v>5519</v>
      </c>
      <c r="K101" s="8">
        <v>5555</v>
      </c>
      <c r="L101" s="8">
        <v>5565</v>
      </c>
      <c r="M101" s="8">
        <v>5538</v>
      </c>
      <c r="N101" s="8">
        <v>5561</v>
      </c>
      <c r="O101" s="8">
        <v>5550</v>
      </c>
      <c r="P101" s="8">
        <v>5561</v>
      </c>
      <c r="Q101" s="8">
        <v>5570</v>
      </c>
      <c r="R101" s="8">
        <v>5549</v>
      </c>
      <c r="S101" s="8">
        <v>16275</v>
      </c>
      <c r="T101" s="8">
        <v>7663</v>
      </c>
      <c r="U101" s="8">
        <v>5541</v>
      </c>
      <c r="V101" s="8">
        <f t="shared" si="15"/>
        <v>123733</v>
      </c>
    </row>
    <row r="102" spans="1:22">
      <c r="A102" s="35">
        <v>15</v>
      </c>
      <c r="B102" s="8">
        <v>5554</v>
      </c>
      <c r="C102" s="8">
        <v>5557</v>
      </c>
      <c r="D102" s="8">
        <v>5513</v>
      </c>
      <c r="E102" s="8">
        <v>5519</v>
      </c>
      <c r="F102" s="8">
        <v>5535</v>
      </c>
      <c r="G102" s="8">
        <v>5516</v>
      </c>
      <c r="H102" s="8">
        <v>5536</v>
      </c>
      <c r="I102" s="8">
        <v>5527</v>
      </c>
      <c r="J102" s="8">
        <v>5521</v>
      </c>
      <c r="K102" s="8">
        <v>5578</v>
      </c>
      <c r="L102" s="8">
        <v>5553</v>
      </c>
      <c r="M102" s="8">
        <v>5530</v>
      </c>
      <c r="N102" s="8">
        <v>5571</v>
      </c>
      <c r="O102" s="8">
        <v>5555</v>
      </c>
      <c r="P102" s="8">
        <v>5554</v>
      </c>
      <c r="Q102" s="8">
        <v>5554</v>
      </c>
      <c r="R102" s="8">
        <v>5541</v>
      </c>
      <c r="S102" s="8">
        <v>16292</v>
      </c>
      <c r="T102" s="8">
        <v>7644</v>
      </c>
      <c r="U102" s="8">
        <v>5544</v>
      </c>
      <c r="V102" s="8">
        <f t="shared" si="15"/>
        <v>123694</v>
      </c>
    </row>
    <row r="103" spans="1:22">
      <c r="A103" s="35">
        <v>16</v>
      </c>
      <c r="B103" s="8">
        <v>5540</v>
      </c>
      <c r="C103" s="8">
        <v>5554</v>
      </c>
      <c r="D103" s="8">
        <v>5522</v>
      </c>
      <c r="E103" s="8">
        <v>5525</v>
      </c>
      <c r="F103" s="8">
        <v>5542</v>
      </c>
      <c r="G103" s="8">
        <v>5509</v>
      </c>
      <c r="H103" s="8">
        <v>5530</v>
      </c>
      <c r="I103" s="8">
        <v>5523</v>
      </c>
      <c r="J103" s="8">
        <v>5508</v>
      </c>
      <c r="K103" s="8">
        <v>5560</v>
      </c>
      <c r="L103" s="8">
        <v>5568</v>
      </c>
      <c r="M103" s="8">
        <v>5538</v>
      </c>
      <c r="N103" s="8">
        <v>5575</v>
      </c>
      <c r="O103" s="8">
        <v>5539</v>
      </c>
      <c r="P103" s="8">
        <v>5575</v>
      </c>
      <c r="Q103" s="8">
        <v>5559</v>
      </c>
      <c r="R103" s="8">
        <v>5539</v>
      </c>
      <c r="S103" s="8">
        <v>16291</v>
      </c>
      <c r="T103" s="8">
        <v>7651</v>
      </c>
      <c r="U103" s="8">
        <v>5552</v>
      </c>
      <c r="V103" s="8">
        <f t="shared" si="15"/>
        <v>123700</v>
      </c>
    </row>
    <row r="104" spans="1:22">
      <c r="A104" s="35">
        <v>17</v>
      </c>
      <c r="B104" s="8">
        <v>5549</v>
      </c>
      <c r="C104" s="8">
        <v>5564</v>
      </c>
      <c r="D104" s="8">
        <v>5518</v>
      </c>
      <c r="E104" s="8">
        <v>5520</v>
      </c>
      <c r="F104" s="8">
        <v>5549</v>
      </c>
      <c r="G104" s="8">
        <v>5509</v>
      </c>
      <c r="H104" s="8">
        <v>5531</v>
      </c>
      <c r="I104" s="8">
        <v>5535</v>
      </c>
      <c r="J104" s="8">
        <v>5518</v>
      </c>
      <c r="K104" s="8">
        <v>5547</v>
      </c>
      <c r="L104" s="8">
        <v>5556</v>
      </c>
      <c r="M104" s="8">
        <v>5538</v>
      </c>
      <c r="N104" s="8">
        <v>5571</v>
      </c>
      <c r="O104" s="8">
        <v>5542</v>
      </c>
      <c r="P104" s="8">
        <v>5555</v>
      </c>
      <c r="Q104" s="8">
        <v>5556</v>
      </c>
      <c r="R104" s="8">
        <v>5544</v>
      </c>
      <c r="S104" s="8">
        <v>16281</v>
      </c>
      <c r="T104" s="8">
        <v>7654</v>
      </c>
      <c r="U104" s="8">
        <v>5533</v>
      </c>
      <c r="V104" s="8">
        <f t="shared" si="15"/>
        <v>123670</v>
      </c>
    </row>
    <row r="105" spans="1:22">
      <c r="A105" s="35">
        <v>18</v>
      </c>
      <c r="B105" s="8">
        <v>5550</v>
      </c>
      <c r="C105" s="8">
        <v>5546</v>
      </c>
      <c r="D105" s="8">
        <v>5522</v>
      </c>
      <c r="E105" s="8">
        <v>5528</v>
      </c>
      <c r="F105" s="8">
        <v>5533</v>
      </c>
      <c r="G105" s="8">
        <v>5513</v>
      </c>
      <c r="H105" s="8">
        <v>5543</v>
      </c>
      <c r="I105" s="8">
        <v>5531</v>
      </c>
      <c r="J105" s="8">
        <v>5511</v>
      </c>
      <c r="K105" s="8">
        <v>5551</v>
      </c>
      <c r="L105" s="8">
        <v>5560</v>
      </c>
      <c r="M105" s="8">
        <v>5546</v>
      </c>
      <c r="N105" s="8">
        <v>5568</v>
      </c>
      <c r="O105" s="8">
        <v>5562</v>
      </c>
      <c r="P105" s="8">
        <v>5561</v>
      </c>
      <c r="Q105" s="8">
        <v>5561</v>
      </c>
      <c r="R105" s="8">
        <v>5531</v>
      </c>
      <c r="S105" s="8">
        <v>16297</v>
      </c>
      <c r="T105" s="8">
        <v>7641</v>
      </c>
      <c r="U105" s="8">
        <v>5541</v>
      </c>
      <c r="V105" s="8">
        <f t="shared" si="15"/>
        <v>123696</v>
      </c>
    </row>
    <row r="106" spans="1:22">
      <c r="A106" s="35">
        <v>19</v>
      </c>
      <c r="B106" s="8">
        <v>5555</v>
      </c>
      <c r="C106" s="8">
        <v>5556</v>
      </c>
      <c r="D106" s="8">
        <v>5511</v>
      </c>
      <c r="E106" s="8">
        <v>5521</v>
      </c>
      <c r="F106" s="8">
        <v>5538</v>
      </c>
      <c r="G106" s="8">
        <v>5506</v>
      </c>
      <c r="H106" s="8">
        <v>5542</v>
      </c>
      <c r="I106" s="8">
        <v>5530</v>
      </c>
      <c r="J106" s="8">
        <v>5524</v>
      </c>
      <c r="K106" s="8">
        <v>5568</v>
      </c>
      <c r="L106" s="8">
        <v>5557</v>
      </c>
      <c r="M106" s="8">
        <v>5541</v>
      </c>
      <c r="N106" s="8">
        <v>5559</v>
      </c>
      <c r="O106" s="8">
        <v>5561</v>
      </c>
      <c r="P106" s="8">
        <v>5557</v>
      </c>
      <c r="Q106" s="8">
        <v>5560</v>
      </c>
      <c r="R106" s="8">
        <v>5548</v>
      </c>
      <c r="S106" s="8">
        <v>16260</v>
      </c>
      <c r="T106" s="8">
        <v>7670</v>
      </c>
      <c r="U106" s="8">
        <v>5535</v>
      </c>
      <c r="V106" s="8">
        <f t="shared" si="15"/>
        <v>123699</v>
      </c>
    </row>
    <row r="107" spans="1:22">
      <c r="A107" s="35">
        <v>20</v>
      </c>
      <c r="B107" s="8">
        <v>5552</v>
      </c>
      <c r="C107" s="8">
        <v>5568</v>
      </c>
      <c r="D107" s="8">
        <v>5523</v>
      </c>
      <c r="E107" s="8">
        <v>5519</v>
      </c>
      <c r="F107" s="8">
        <v>5544</v>
      </c>
      <c r="G107" s="8">
        <v>5522</v>
      </c>
      <c r="H107" s="8">
        <v>5544</v>
      </c>
      <c r="I107" s="8">
        <v>5543</v>
      </c>
      <c r="J107" s="8">
        <v>5526</v>
      </c>
      <c r="K107" s="8">
        <v>5553</v>
      </c>
      <c r="L107" s="8">
        <v>5554</v>
      </c>
      <c r="M107" s="8">
        <v>5538</v>
      </c>
      <c r="N107" s="8">
        <v>5553</v>
      </c>
      <c r="O107" s="8">
        <v>5562</v>
      </c>
      <c r="P107" s="8">
        <v>5563</v>
      </c>
      <c r="Q107" s="8">
        <v>5574</v>
      </c>
      <c r="R107" s="8">
        <v>5536</v>
      </c>
      <c r="S107" s="8">
        <v>16282</v>
      </c>
      <c r="T107" s="8">
        <v>7650</v>
      </c>
      <c r="U107" s="8">
        <v>5542</v>
      </c>
      <c r="V107" s="8">
        <f t="shared" si="15"/>
        <v>123748</v>
      </c>
    </row>
    <row r="108" spans="1:22">
      <c r="A108" s="35">
        <v>21</v>
      </c>
      <c r="B108" s="8">
        <v>5546</v>
      </c>
      <c r="C108" s="8">
        <v>5551</v>
      </c>
      <c r="D108" s="8">
        <v>5526</v>
      </c>
      <c r="E108" s="8">
        <v>5513</v>
      </c>
      <c r="F108" s="8">
        <v>5531</v>
      </c>
      <c r="G108" s="8">
        <v>5512</v>
      </c>
      <c r="H108" s="8">
        <v>5531</v>
      </c>
      <c r="I108" s="8">
        <v>5514</v>
      </c>
      <c r="J108" s="8">
        <v>5523</v>
      </c>
      <c r="K108" s="8">
        <v>5556</v>
      </c>
      <c r="L108" s="8">
        <v>5550</v>
      </c>
      <c r="M108" s="8">
        <v>5542</v>
      </c>
      <c r="N108" s="8">
        <v>5553</v>
      </c>
      <c r="O108" s="8">
        <v>5543</v>
      </c>
      <c r="P108" s="8">
        <v>5562</v>
      </c>
      <c r="Q108" s="8">
        <v>5570</v>
      </c>
      <c r="R108" s="8">
        <v>5538</v>
      </c>
      <c r="S108" s="8">
        <v>16288</v>
      </c>
      <c r="T108" s="8">
        <v>7645</v>
      </c>
      <c r="U108" s="8">
        <v>5542</v>
      </c>
      <c r="V108" s="8">
        <f t="shared" si="15"/>
        <v>123636</v>
      </c>
    </row>
    <row r="109" spans="1:22">
      <c r="A109" s="35">
        <v>22</v>
      </c>
      <c r="B109" s="8">
        <v>5551</v>
      </c>
      <c r="C109" s="8">
        <v>5556</v>
      </c>
      <c r="D109" s="8">
        <v>5509</v>
      </c>
      <c r="E109" s="8">
        <v>5518</v>
      </c>
      <c r="F109" s="8">
        <v>5540</v>
      </c>
      <c r="G109" s="8">
        <v>5520</v>
      </c>
      <c r="H109" s="8">
        <v>5535</v>
      </c>
      <c r="I109" s="8">
        <v>5538</v>
      </c>
      <c r="J109" s="8">
        <v>5511</v>
      </c>
      <c r="K109" s="8">
        <v>5550</v>
      </c>
      <c r="L109" s="8">
        <v>5546</v>
      </c>
      <c r="M109" s="8">
        <v>5545</v>
      </c>
      <c r="N109" s="8">
        <v>5555</v>
      </c>
      <c r="O109" s="8">
        <v>5557</v>
      </c>
      <c r="P109" s="8">
        <v>5559</v>
      </c>
      <c r="Q109" s="8">
        <v>5564</v>
      </c>
      <c r="R109" s="8">
        <v>5539</v>
      </c>
      <c r="S109" s="8">
        <v>16285</v>
      </c>
      <c r="T109" s="8">
        <v>7705</v>
      </c>
      <c r="U109" s="8">
        <v>5559</v>
      </c>
      <c r="V109" s="8">
        <f t="shared" si="15"/>
        <v>123742</v>
      </c>
    </row>
    <row r="110" spans="1:22">
      <c r="A110" s="35">
        <v>23</v>
      </c>
      <c r="B110" s="8">
        <v>5548</v>
      </c>
      <c r="C110" s="8">
        <v>5553</v>
      </c>
      <c r="D110" s="8">
        <v>5510</v>
      </c>
      <c r="E110" s="8">
        <v>5525</v>
      </c>
      <c r="F110" s="8">
        <v>5541</v>
      </c>
      <c r="G110" s="8">
        <v>5524</v>
      </c>
      <c r="H110" s="8">
        <v>5537</v>
      </c>
      <c r="I110" s="8">
        <v>5526</v>
      </c>
      <c r="J110" s="8">
        <v>5522</v>
      </c>
      <c r="K110" s="8">
        <v>5560</v>
      </c>
      <c r="L110" s="8">
        <v>5560</v>
      </c>
      <c r="M110" s="8">
        <v>5548</v>
      </c>
      <c r="N110" s="8">
        <v>5560</v>
      </c>
      <c r="O110" s="8">
        <v>5545</v>
      </c>
      <c r="P110" s="8">
        <v>5565</v>
      </c>
      <c r="Q110" s="8">
        <v>5553</v>
      </c>
      <c r="R110" s="8">
        <v>5533</v>
      </c>
      <c r="S110" s="8">
        <v>16278</v>
      </c>
      <c r="T110" s="8">
        <v>7644</v>
      </c>
      <c r="U110" s="8">
        <v>5539</v>
      </c>
      <c r="V110" s="8">
        <f t="shared" si="15"/>
        <v>123671</v>
      </c>
    </row>
    <row r="111" spans="1:22">
      <c r="A111" s="35">
        <v>24</v>
      </c>
      <c r="B111" s="8">
        <v>5545</v>
      </c>
      <c r="C111" s="8">
        <v>5557</v>
      </c>
      <c r="D111" s="8">
        <v>5510</v>
      </c>
      <c r="E111" s="8">
        <v>5525</v>
      </c>
      <c r="F111" s="8">
        <v>5543</v>
      </c>
      <c r="G111" s="8">
        <v>5522</v>
      </c>
      <c r="H111" s="8">
        <v>5536</v>
      </c>
      <c r="I111" s="8">
        <v>5561</v>
      </c>
      <c r="J111" s="8">
        <v>5527</v>
      </c>
      <c r="K111" s="8">
        <v>5561</v>
      </c>
      <c r="L111" s="8">
        <v>5565</v>
      </c>
      <c r="M111" s="8">
        <v>5545</v>
      </c>
      <c r="N111" s="8">
        <v>5597</v>
      </c>
      <c r="O111" s="8">
        <v>5561</v>
      </c>
      <c r="P111" s="8">
        <v>5583</v>
      </c>
      <c r="Q111" s="8">
        <v>5595</v>
      </c>
      <c r="R111" s="8">
        <v>5539</v>
      </c>
      <c r="S111" s="8">
        <v>16318</v>
      </c>
      <c r="T111" s="8">
        <v>7660</v>
      </c>
      <c r="U111" s="8">
        <v>5542</v>
      </c>
      <c r="V111" s="8">
        <f t="shared" si="15"/>
        <v>123892</v>
      </c>
    </row>
    <row r="112" spans="1:22">
      <c r="A112" s="35">
        <v>25</v>
      </c>
      <c r="B112" s="8">
        <v>5548</v>
      </c>
      <c r="C112" s="8">
        <v>5585</v>
      </c>
      <c r="D112" s="8">
        <v>5518</v>
      </c>
      <c r="E112" s="8">
        <v>5534</v>
      </c>
      <c r="F112" s="8">
        <v>5542</v>
      </c>
      <c r="G112" s="8">
        <v>5526</v>
      </c>
      <c r="H112" s="8">
        <v>5571</v>
      </c>
      <c r="I112" s="8">
        <v>5539</v>
      </c>
      <c r="J112" s="8">
        <v>5528</v>
      </c>
      <c r="K112" s="8">
        <v>5570</v>
      </c>
      <c r="L112" s="8">
        <v>5565</v>
      </c>
      <c r="M112" s="8">
        <v>5543</v>
      </c>
      <c r="N112" s="8">
        <v>5589</v>
      </c>
      <c r="O112" s="8">
        <v>5548</v>
      </c>
      <c r="P112" s="8">
        <v>5586</v>
      </c>
      <c r="Q112" s="8">
        <v>5581</v>
      </c>
      <c r="R112" s="8">
        <v>5537</v>
      </c>
      <c r="S112" s="8">
        <v>16278</v>
      </c>
      <c r="T112" s="8">
        <v>7655</v>
      </c>
      <c r="U112" s="8">
        <v>5541</v>
      </c>
      <c r="V112" s="8">
        <f t="shared" si="15"/>
        <v>123884</v>
      </c>
    </row>
    <row r="113" spans="1:22">
      <c r="A113" s="35" t="s">
        <v>148</v>
      </c>
      <c r="B113" s="8">
        <f>AVERAGE(B88:B112)</f>
        <v>5550.8</v>
      </c>
      <c r="C113" s="8">
        <f t="shared" ref="C113:U113" si="16">AVERAGE(C88:C112)</f>
        <v>5559.56</v>
      </c>
      <c r="D113" s="8">
        <f t="shared" si="16"/>
        <v>5520.68</v>
      </c>
      <c r="E113" s="8">
        <f t="shared" si="16"/>
        <v>5520.96</v>
      </c>
      <c r="F113" s="8">
        <f t="shared" si="16"/>
        <v>5543.16</v>
      </c>
      <c r="G113" s="8">
        <f t="shared" si="16"/>
        <v>5518.44</v>
      </c>
      <c r="H113" s="8">
        <f t="shared" si="16"/>
        <v>5542</v>
      </c>
      <c r="I113" s="8">
        <f t="shared" si="16"/>
        <v>5532.36</v>
      </c>
      <c r="J113" s="8">
        <f t="shared" si="16"/>
        <v>5519.24</v>
      </c>
      <c r="K113" s="8">
        <f t="shared" si="16"/>
        <v>5558.08</v>
      </c>
      <c r="L113" s="8">
        <f t="shared" si="16"/>
        <v>5556</v>
      </c>
      <c r="M113" s="8">
        <f t="shared" si="16"/>
        <v>5542.24</v>
      </c>
      <c r="N113" s="8">
        <f t="shared" si="16"/>
        <v>5565.36</v>
      </c>
      <c r="O113" s="8">
        <f t="shared" si="16"/>
        <v>5552.08</v>
      </c>
      <c r="P113" s="8">
        <f t="shared" si="16"/>
        <v>5565.52</v>
      </c>
      <c r="Q113" s="8">
        <f t="shared" si="16"/>
        <v>5563.6</v>
      </c>
      <c r="R113" s="8">
        <f t="shared" si="16"/>
        <v>5544.96</v>
      </c>
      <c r="S113" s="8">
        <f t="shared" si="16"/>
        <v>16285.2</v>
      </c>
      <c r="T113" s="8">
        <f t="shared" si="16"/>
        <v>7654.28</v>
      </c>
      <c r="U113" s="8">
        <f t="shared" si="16"/>
        <v>5543.36</v>
      </c>
      <c r="V113" s="8">
        <f>AVERAGE(V88:V112)</f>
        <v>123737.88</v>
      </c>
    </row>
    <row r="114" spans="1:22">
      <c r="A114" s="36" t="s">
        <v>145</v>
      </c>
      <c r="B114" s="6">
        <f>MEDIAN(B88:B113)</f>
        <v>5550.9</v>
      </c>
      <c r="C114" s="6">
        <f t="shared" ref="C114:U114" si="17">MEDIAN(C88:C113)</f>
        <v>5557.5</v>
      </c>
      <c r="D114" s="6">
        <f t="shared" si="17"/>
        <v>5521.5</v>
      </c>
      <c r="E114" s="6">
        <f t="shared" si="17"/>
        <v>5520.98</v>
      </c>
      <c r="F114" s="6">
        <f t="shared" si="17"/>
        <v>5541.5</v>
      </c>
      <c r="G114" s="6">
        <f t="shared" si="17"/>
        <v>5519.22</v>
      </c>
      <c r="H114" s="6">
        <f t="shared" si="17"/>
        <v>5540.5</v>
      </c>
      <c r="I114" s="6">
        <f t="shared" si="17"/>
        <v>5530.5</v>
      </c>
      <c r="J114" s="6">
        <f t="shared" si="17"/>
        <v>5520.12</v>
      </c>
      <c r="K114" s="6">
        <f t="shared" si="17"/>
        <v>5558.54</v>
      </c>
      <c r="L114" s="6">
        <f t="shared" si="17"/>
        <v>5556</v>
      </c>
      <c r="M114" s="6">
        <f t="shared" si="17"/>
        <v>5542.12</v>
      </c>
      <c r="N114" s="6">
        <f t="shared" si="17"/>
        <v>5563.18</v>
      </c>
      <c r="O114" s="6">
        <f t="shared" si="17"/>
        <v>5551</v>
      </c>
      <c r="P114" s="6">
        <f t="shared" si="17"/>
        <v>5562.5</v>
      </c>
      <c r="Q114" s="6">
        <f t="shared" si="17"/>
        <v>5561</v>
      </c>
      <c r="R114" s="6">
        <f t="shared" si="17"/>
        <v>5543</v>
      </c>
      <c r="S114" s="6">
        <f t="shared" si="17"/>
        <v>16283</v>
      </c>
      <c r="T114" s="6">
        <f t="shared" si="17"/>
        <v>7653.5</v>
      </c>
      <c r="U114" s="6">
        <f t="shared" si="17"/>
        <v>5542</v>
      </c>
      <c r="V114" s="6">
        <f>MEDIAN(V88:V113)</f>
        <v>123734</v>
      </c>
    </row>
    <row r="115" spans="1:22">
      <c r="A115" s="37" t="s">
        <v>149</v>
      </c>
      <c r="B115" s="8">
        <f>VARP(B88:B113)</f>
        <v>41.6153846153846</v>
      </c>
      <c r="C115" s="8">
        <f t="shared" ref="C115:U115" si="18">VARP(C88:C113)</f>
        <v>64.16</v>
      </c>
      <c r="D115" s="8">
        <f t="shared" si="18"/>
        <v>51.2861538461539</v>
      </c>
      <c r="E115" s="8">
        <f t="shared" si="18"/>
        <v>36.4215384615385</v>
      </c>
      <c r="F115" s="8">
        <f t="shared" si="18"/>
        <v>79.2061538461538</v>
      </c>
      <c r="G115" s="8">
        <f t="shared" si="18"/>
        <v>60.3138461538462</v>
      </c>
      <c r="H115" s="8">
        <f t="shared" si="18"/>
        <v>79.9230769230769</v>
      </c>
      <c r="I115" s="8">
        <f t="shared" si="18"/>
        <v>83.8369230769231</v>
      </c>
      <c r="J115" s="8">
        <f t="shared" si="18"/>
        <v>38.1753846153846</v>
      </c>
      <c r="K115" s="8">
        <f t="shared" si="18"/>
        <v>56.2246153846154</v>
      </c>
      <c r="L115" s="8">
        <f t="shared" si="18"/>
        <v>51.6923076923077</v>
      </c>
      <c r="M115" s="8">
        <f t="shared" si="18"/>
        <v>45.0215384615384</v>
      </c>
      <c r="N115" s="8">
        <f t="shared" si="18"/>
        <v>104.375384615385</v>
      </c>
      <c r="O115" s="8">
        <f t="shared" si="18"/>
        <v>44.1476923076923</v>
      </c>
      <c r="P115" s="8">
        <f t="shared" si="18"/>
        <v>74.3169230769231</v>
      </c>
      <c r="Q115" s="8">
        <f t="shared" si="18"/>
        <v>84.3076923076923</v>
      </c>
      <c r="R115" s="8">
        <f t="shared" si="18"/>
        <v>156.421538461539</v>
      </c>
      <c r="S115" s="8">
        <f t="shared" si="18"/>
        <v>140.153846153846</v>
      </c>
      <c r="T115" s="8">
        <f t="shared" si="18"/>
        <v>155.270769230769</v>
      </c>
      <c r="U115" s="8">
        <f t="shared" si="18"/>
        <v>38.6830769230769</v>
      </c>
      <c r="V115" s="8">
        <f>VARP(V88:V113)</f>
        <v>3470.10153846154</v>
      </c>
    </row>
    <row r="116" spans="1:22">
      <c r="A116" s="37" t="s">
        <v>150</v>
      </c>
      <c r="B116" s="8">
        <f>SQRT(B115)/SQRT(25)*1.96</f>
        <v>2.52879150218804</v>
      </c>
      <c r="C116" s="8">
        <f t="shared" ref="C116:U116" si="19">SQRT(C115)/SQRT(25)*1.96</f>
        <v>3.13991755305772</v>
      </c>
      <c r="D116" s="8">
        <f t="shared" si="19"/>
        <v>2.80728259080118</v>
      </c>
      <c r="E116" s="8">
        <f t="shared" si="19"/>
        <v>2.36573018033626</v>
      </c>
      <c r="F116" s="8">
        <f t="shared" si="19"/>
        <v>3.48871529715673</v>
      </c>
      <c r="G116" s="8">
        <f t="shared" si="19"/>
        <v>3.04434998897706</v>
      </c>
      <c r="H116" s="8">
        <f t="shared" si="19"/>
        <v>3.50446853207554</v>
      </c>
      <c r="I116" s="8">
        <f t="shared" si="19"/>
        <v>3.58925019296403</v>
      </c>
      <c r="J116" s="8">
        <f t="shared" si="19"/>
        <v>2.42202029337874</v>
      </c>
      <c r="K116" s="8">
        <f t="shared" si="19"/>
        <v>2.93933654052433</v>
      </c>
      <c r="L116" s="8">
        <f t="shared" si="19"/>
        <v>2.81837661947987</v>
      </c>
      <c r="M116" s="8">
        <f t="shared" si="19"/>
        <v>2.63024517605372</v>
      </c>
      <c r="N116" s="8">
        <f t="shared" si="19"/>
        <v>4.00483946014549</v>
      </c>
      <c r="O116" s="8">
        <f t="shared" si="19"/>
        <v>2.60459420846496</v>
      </c>
      <c r="P116" s="8">
        <f t="shared" si="19"/>
        <v>3.37932473546007</v>
      </c>
      <c r="Q116" s="8">
        <f t="shared" si="19"/>
        <v>3.59931343880597</v>
      </c>
      <c r="R116" s="8">
        <f t="shared" si="19"/>
        <v>4.90268898525634</v>
      </c>
      <c r="S116" s="8">
        <f t="shared" si="19"/>
        <v>4.64075431534407</v>
      </c>
      <c r="T116" s="8">
        <f t="shared" si="19"/>
        <v>4.88462152915422</v>
      </c>
      <c r="U116" s="8">
        <f t="shared" si="19"/>
        <v>2.43807225740085</v>
      </c>
      <c r="V116" s="8">
        <f>SQRT(V115)/SQRT(25)*1.96</f>
        <v>23.0917665588009</v>
      </c>
    </row>
    <row r="117" spans="1:22">
      <c r="A117" s="35" t="s">
        <v>151</v>
      </c>
      <c r="B117" s="8">
        <f>B113+B116</f>
        <v>5553.32879150219</v>
      </c>
      <c r="C117" s="8">
        <f t="shared" ref="C117:U117" si="20">C113+C116</f>
        <v>5562.69991755306</v>
      </c>
      <c r="D117" s="8">
        <f t="shared" si="20"/>
        <v>5523.4872825908</v>
      </c>
      <c r="E117" s="8">
        <f t="shared" si="20"/>
        <v>5523.32573018034</v>
      </c>
      <c r="F117" s="8">
        <f t="shared" si="20"/>
        <v>5546.64871529716</v>
      </c>
      <c r="G117" s="8">
        <f t="shared" si="20"/>
        <v>5521.48434998898</v>
      </c>
      <c r="H117" s="8">
        <f t="shared" si="20"/>
        <v>5545.50446853208</v>
      </c>
      <c r="I117" s="8">
        <f t="shared" si="20"/>
        <v>5535.94925019296</v>
      </c>
      <c r="J117" s="8">
        <f t="shared" si="20"/>
        <v>5521.66202029338</v>
      </c>
      <c r="K117" s="8">
        <f t="shared" si="20"/>
        <v>5561.01933654052</v>
      </c>
      <c r="L117" s="8">
        <f t="shared" si="20"/>
        <v>5558.81837661948</v>
      </c>
      <c r="M117" s="8">
        <f t="shared" si="20"/>
        <v>5544.87024517605</v>
      </c>
      <c r="N117" s="8">
        <f t="shared" si="20"/>
        <v>5569.36483946015</v>
      </c>
      <c r="O117" s="8">
        <f t="shared" si="20"/>
        <v>5554.68459420846</v>
      </c>
      <c r="P117" s="8">
        <f t="shared" si="20"/>
        <v>5568.89932473546</v>
      </c>
      <c r="Q117" s="8">
        <f t="shared" si="20"/>
        <v>5567.19931343881</v>
      </c>
      <c r="R117" s="8">
        <f t="shared" si="20"/>
        <v>5549.86268898526</v>
      </c>
      <c r="S117" s="8">
        <f t="shared" si="20"/>
        <v>16289.8407543153</v>
      </c>
      <c r="T117" s="8">
        <f t="shared" si="20"/>
        <v>7659.16462152915</v>
      </c>
      <c r="U117" s="8">
        <f t="shared" si="20"/>
        <v>5545.7980722574</v>
      </c>
      <c r="V117" s="8">
        <f>V113+V116</f>
        <v>123760.971766559</v>
      </c>
    </row>
  </sheetData>
  <mergeCells count="60">
    <mergeCell ref="A30:A31"/>
    <mergeCell ref="A37:A38"/>
    <mergeCell ref="A39:A40"/>
    <mergeCell ref="A73:A74"/>
    <mergeCell ref="A79:A80"/>
    <mergeCell ref="A81:A82"/>
    <mergeCell ref="B30:B31"/>
    <mergeCell ref="B37:B38"/>
    <mergeCell ref="B39:B40"/>
    <mergeCell ref="B73:B74"/>
    <mergeCell ref="B79:B80"/>
    <mergeCell ref="B81:B82"/>
    <mergeCell ref="C30:C31"/>
    <mergeCell ref="C37:C38"/>
    <mergeCell ref="C39:C40"/>
    <mergeCell ref="C73:C74"/>
    <mergeCell ref="C79:C80"/>
    <mergeCell ref="C81:C82"/>
    <mergeCell ref="D30:D31"/>
    <mergeCell ref="D37:D38"/>
    <mergeCell ref="D39:D40"/>
    <mergeCell ref="D73:D74"/>
    <mergeCell ref="D79:D80"/>
    <mergeCell ref="D81:D82"/>
    <mergeCell ref="E30:E31"/>
    <mergeCell ref="E37:E38"/>
    <mergeCell ref="E39:E40"/>
    <mergeCell ref="E73:E74"/>
    <mergeCell ref="E79:E80"/>
    <mergeCell ref="E81:E82"/>
    <mergeCell ref="F30:F31"/>
    <mergeCell ref="F37:F38"/>
    <mergeCell ref="F39:F40"/>
    <mergeCell ref="F73:F74"/>
    <mergeCell ref="F79:F80"/>
    <mergeCell ref="F81:F82"/>
    <mergeCell ref="G30:G31"/>
    <mergeCell ref="G37:G38"/>
    <mergeCell ref="G39:G40"/>
    <mergeCell ref="G73:G74"/>
    <mergeCell ref="G79:G80"/>
    <mergeCell ref="G81:G82"/>
    <mergeCell ref="H30:H31"/>
    <mergeCell ref="H37:H38"/>
    <mergeCell ref="H39:H40"/>
    <mergeCell ref="H73:H74"/>
    <mergeCell ref="H79:H80"/>
    <mergeCell ref="H81:H82"/>
    <mergeCell ref="I30:I31"/>
    <mergeCell ref="I37:I38"/>
    <mergeCell ref="I39:I40"/>
    <mergeCell ref="I73:I74"/>
    <mergeCell ref="I79:I80"/>
    <mergeCell ref="I81:I82"/>
    <mergeCell ref="J73:J74"/>
    <mergeCell ref="J79:J80"/>
    <mergeCell ref="J81:J82"/>
    <mergeCell ref="A1:I2"/>
    <mergeCell ref="A43:J44"/>
    <mergeCell ref="A85:V86"/>
  </mergeCells>
  <conditionalFormatting sqref="C72">
    <cfRule type="cellIs" dxfId="0" priority="28" operator="greaterThan">
      <formula>$C$36</formula>
    </cfRule>
  </conditionalFormatting>
  <conditionalFormatting sqref="D72">
    <cfRule type="cellIs" dxfId="0" priority="27" operator="greaterThan">
      <formula>$D$36</formula>
    </cfRule>
  </conditionalFormatting>
  <conditionalFormatting sqref="F72">
    <cfRule type="cellIs" dxfId="0" priority="26" operator="greaterThan">
      <formula>$F$36</formula>
    </cfRule>
  </conditionalFormatting>
  <conditionalFormatting sqref="G72">
    <cfRule type="cellIs" dxfId="0" priority="24" operator="greaterThan">
      <formula>$G$36</formula>
    </cfRule>
    <cfRule type="cellIs" dxfId="0" priority="25" operator="greaterThan">
      <formula>"851.5"</formula>
    </cfRule>
  </conditionalFormatting>
  <conditionalFormatting sqref="H72">
    <cfRule type="cellIs" dxfId="0" priority="23" operator="greaterThan">
      <formula>$H$36</formula>
    </cfRule>
  </conditionalFormatting>
  <conditionalFormatting sqref="I72:J72">
    <cfRule type="cellIs" dxfId="0" priority="22" operator="greaterThan">
      <formula>$I$36</formula>
    </cfRule>
  </conditionalFormatting>
  <conditionalFormatting sqref="F113">
    <cfRule type="cellIs" dxfId="1" priority="9" operator="greaterThan">
      <formula>$F$117</formula>
    </cfRule>
  </conditionalFormatting>
  <conditionalFormatting sqref="B4:B28">
    <cfRule type="cellIs" dxfId="0" priority="42" operator="greaterThan">
      <formula>$B$36</formula>
    </cfRule>
  </conditionalFormatting>
  <conditionalFormatting sqref="B46:B70">
    <cfRule type="cellIs" dxfId="2" priority="21" operator="greaterThan">
      <formula>$B$78</formula>
    </cfRule>
  </conditionalFormatting>
  <conditionalFormatting sqref="C4:C29">
    <cfRule type="cellIs" dxfId="0" priority="41" operator="greaterThan">
      <formula>$C$36</formula>
    </cfRule>
  </conditionalFormatting>
  <conditionalFormatting sqref="C46:C71">
    <cfRule type="cellIs" dxfId="3" priority="20" operator="greaterThan">
      <formula>$C$78</formula>
    </cfRule>
  </conditionalFormatting>
  <conditionalFormatting sqref="D4:D29">
    <cfRule type="cellIs" dxfId="0" priority="40" operator="greaterThan">
      <formula>$D$36</formula>
    </cfRule>
  </conditionalFormatting>
  <conditionalFormatting sqref="D46:D71">
    <cfRule type="cellIs" dxfId="3" priority="19" operator="greaterThan">
      <formula>$D$78</formula>
    </cfRule>
  </conditionalFormatting>
  <conditionalFormatting sqref="E4:E28">
    <cfRule type="cellIs" dxfId="0" priority="39" operator="greaterThan">
      <formula>$E$36</formula>
    </cfRule>
  </conditionalFormatting>
  <conditionalFormatting sqref="E46:E71">
    <cfRule type="cellIs" dxfId="3" priority="18" operator="greaterThan">
      <formula>$E$78</formula>
    </cfRule>
  </conditionalFormatting>
  <conditionalFormatting sqref="F4:F29">
    <cfRule type="cellIs" dxfId="0" priority="38" operator="greaterThan">
      <formula>$F$36</formula>
    </cfRule>
  </conditionalFormatting>
  <conditionalFormatting sqref="F46:F70">
    <cfRule type="cellIs" dxfId="3" priority="17" operator="greaterThan">
      <formula>$F$78</formula>
    </cfRule>
  </conditionalFormatting>
  <conditionalFormatting sqref="G4:G29">
    <cfRule type="cellIs" dxfId="0" priority="36" operator="greaterThan">
      <formula>$G$36</formula>
    </cfRule>
    <cfRule type="cellIs" dxfId="0" priority="37" operator="greaterThan">
      <formula>"851.5"</formula>
    </cfRule>
  </conditionalFormatting>
  <conditionalFormatting sqref="G46:G70">
    <cfRule type="cellIs" dxfId="3" priority="16" operator="greaterThan">
      <formula>$G$78</formula>
    </cfRule>
  </conditionalFormatting>
  <conditionalFormatting sqref="H4:H29">
    <cfRule type="cellIs" dxfId="0" priority="35" operator="greaterThan">
      <formula>$H$36</formula>
    </cfRule>
  </conditionalFormatting>
  <conditionalFormatting sqref="H46:H71">
    <cfRule type="cellIs" dxfId="3" priority="15" operator="greaterThan">
      <formula>$H$78</formula>
    </cfRule>
  </conditionalFormatting>
  <conditionalFormatting sqref="I4:I29">
    <cfRule type="cellIs" dxfId="0" priority="34" operator="greaterThan">
      <formula>$I$36</formula>
    </cfRule>
  </conditionalFormatting>
  <conditionalFormatting sqref="I4:I28">
    <cfRule type="cellIs" dxfId="1" priority="33" operator="lessThan">
      <formula>$J$36</formula>
    </cfRule>
  </conditionalFormatting>
  <conditionalFormatting sqref="I46:I70">
    <cfRule type="cellIs" dxfId="3" priority="14" operator="greaterThan">
      <formula>$I$78</formula>
    </cfRule>
  </conditionalFormatting>
  <conditionalFormatting sqref="J46:J71">
    <cfRule type="cellIs" dxfId="3" priority="13" operator="greaterThan">
      <formula>$J$78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Результаты Cucumber</vt:lpstr>
      <vt:lpstr>Результаты GherkinApprox</vt:lpstr>
      <vt:lpstr>Результаты Concordialang</vt:lpstr>
      <vt:lpstr>Количество строк</vt:lpstr>
      <vt:lpstr>Эксперемент по прогреву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</dc:creator>
  <cp:lastModifiedBy>Юзуки Санада Безликая</cp:lastModifiedBy>
  <dcterms:created xsi:type="dcterms:W3CDTF">2026-06-18T19:18:00Z</dcterms:created>
  <dcterms:modified xsi:type="dcterms:W3CDTF">2026-07-05T16:23:07Z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23139357DAFE43E19603D3E183B3D31B_13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1</vt:i4>
  </property>
</Properties>
</file>